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26년 논문 데이터 작업\"/>
    </mc:Choice>
  </mc:AlternateContent>
  <bookViews>
    <workbookView xWindow="-105" yWindow="-105" windowWidth="23250" windowHeight="12450" activeTab="3"/>
  </bookViews>
  <sheets>
    <sheet name="EM_total_유기물형광지표" sheetId="3" r:id="rId1"/>
    <sheet name="EM_total_안정동위원소" sheetId="4" r:id="rId2"/>
    <sheet name="EM_total_2025" sheetId="2" r:id="rId3"/>
    <sheet name="EM_total_2024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user</author>
  </authors>
  <commentList>
    <comment ref="I57" authorId="0" shapeId="0">
      <text>
        <r>
          <rPr>
            <b/>
            <sz val="9"/>
            <color indexed="81"/>
            <rFont val="돋움"/>
            <family val="3"/>
            <charset val="129"/>
          </rPr>
          <t>재분석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
분석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조건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초과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시료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주입량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조절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재분석</t>
        </r>
        <r>
          <rPr>
            <b/>
            <sz val="9"/>
            <color indexed="81"/>
            <rFont val="Tahoma"/>
            <family val="2"/>
          </rPr>
          <t>) -&gt;</t>
        </r>
        <r>
          <rPr>
            <b/>
            <sz val="12"/>
            <color indexed="81"/>
            <rFont val="Tahoma"/>
            <family val="2"/>
          </rPr>
          <t xml:space="preserve"> 
</t>
        </r>
        <r>
          <rPr>
            <b/>
            <sz val="12"/>
            <color indexed="81"/>
            <rFont val="돋움"/>
            <family val="3"/>
            <charset val="129"/>
          </rPr>
          <t>재분석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완료</t>
        </r>
      </text>
    </comment>
    <comment ref="I58" authorId="0" shapeId="0">
      <text>
        <r>
          <rPr>
            <b/>
            <sz val="9"/>
            <color indexed="81"/>
            <rFont val="Tahoma"/>
            <family val="2"/>
          </rPr>
          <t>plot</t>
        </r>
        <r>
          <rPr>
            <b/>
            <sz val="9"/>
            <color indexed="81"/>
            <rFont val="돋움"/>
            <family val="3"/>
            <charset val="129"/>
          </rPr>
          <t>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안되어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있음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산소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동위원소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범위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벗어남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F37" authorId="0" shapeId="0">
      <text>
        <r>
          <rPr>
            <b/>
            <sz val="9"/>
            <color indexed="81"/>
            <rFont val="돋움"/>
            <family val="3"/>
            <charset val="129"/>
          </rPr>
          <t>재분석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
분석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조건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초과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시료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주입량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조절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재분석</t>
        </r>
        <r>
          <rPr>
            <b/>
            <sz val="9"/>
            <color indexed="81"/>
            <rFont val="Tahoma"/>
            <family val="2"/>
          </rPr>
          <t>) -&gt;</t>
        </r>
        <r>
          <rPr>
            <b/>
            <sz val="12"/>
            <color indexed="81"/>
            <rFont val="Tahoma"/>
            <family val="2"/>
          </rPr>
          <t xml:space="preserve"> 
</t>
        </r>
        <r>
          <rPr>
            <b/>
            <sz val="12"/>
            <color indexed="81"/>
            <rFont val="돋움"/>
            <family val="3"/>
            <charset val="129"/>
          </rPr>
          <t>재분석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완료</t>
        </r>
      </text>
    </comment>
    <comment ref="F38" authorId="0" shapeId="0">
      <text>
        <r>
          <rPr>
            <b/>
            <sz val="9"/>
            <color indexed="81"/>
            <rFont val="Tahoma"/>
            <family val="2"/>
          </rPr>
          <t>plot</t>
        </r>
        <r>
          <rPr>
            <b/>
            <sz val="9"/>
            <color indexed="81"/>
            <rFont val="돋움"/>
            <family val="3"/>
            <charset val="129"/>
          </rPr>
          <t>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안되어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있음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산소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동위원소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범위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벗어남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comments3.xml><?xml version="1.0" encoding="utf-8"?>
<comments xmlns="http://schemas.openxmlformats.org/spreadsheetml/2006/main">
  <authors>
    <author>user</author>
  </authors>
  <commentList>
    <comment ref="I29" authorId="0" shapeId="0">
      <text>
        <r>
          <rPr>
            <b/>
            <sz val="9"/>
            <color indexed="81"/>
            <rFont val="돋움"/>
            <family val="3"/>
            <charset val="129"/>
          </rPr>
          <t>재분석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
분석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조건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초과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시료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주입량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조절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재분석</t>
        </r>
        <r>
          <rPr>
            <b/>
            <sz val="9"/>
            <color indexed="81"/>
            <rFont val="Tahoma"/>
            <family val="2"/>
          </rPr>
          <t>) -&gt;</t>
        </r>
        <r>
          <rPr>
            <b/>
            <sz val="12"/>
            <color indexed="81"/>
            <rFont val="Tahoma"/>
            <family val="2"/>
          </rPr>
          <t xml:space="preserve"> 
</t>
        </r>
        <r>
          <rPr>
            <b/>
            <sz val="12"/>
            <color indexed="81"/>
            <rFont val="돋움"/>
            <family val="3"/>
            <charset val="129"/>
          </rPr>
          <t>재분석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완료</t>
        </r>
      </text>
    </comment>
    <comment ref="I30" authorId="0" shapeId="0">
      <text>
        <r>
          <rPr>
            <b/>
            <sz val="9"/>
            <color indexed="81"/>
            <rFont val="Tahoma"/>
            <family val="2"/>
          </rPr>
          <t>plot</t>
        </r>
        <r>
          <rPr>
            <b/>
            <sz val="9"/>
            <color indexed="81"/>
            <rFont val="돋움"/>
            <family val="3"/>
            <charset val="129"/>
          </rPr>
          <t>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안되어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있음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산소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동위원소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범위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벗어남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<sst xmlns="http://schemas.openxmlformats.org/spreadsheetml/2006/main" count="1042" uniqueCount="266">
  <si>
    <t>연번</t>
    <phoneticPr fontId="2" type="noConversion"/>
  </si>
  <si>
    <t>구분</t>
    <phoneticPr fontId="2" type="noConversion"/>
  </si>
  <si>
    <t>시료명</t>
    <phoneticPr fontId="2" type="noConversion"/>
  </si>
  <si>
    <t>세부내역</t>
    <phoneticPr fontId="2" type="noConversion"/>
  </si>
  <si>
    <t>HIX</t>
    <phoneticPr fontId="2" type="noConversion"/>
  </si>
  <si>
    <t>BIX</t>
    <phoneticPr fontId="2" type="noConversion"/>
  </si>
  <si>
    <t>FI</t>
    <phoneticPr fontId="2" type="noConversion"/>
  </si>
  <si>
    <t>15N-NO3</t>
  </si>
  <si>
    <t>18O-NO3</t>
  </si>
  <si>
    <t>추출 방법</t>
    <phoneticPr fontId="2" type="noConversion"/>
  </si>
  <si>
    <t>Leaves</t>
    <phoneticPr fontId="2" type="noConversion"/>
  </si>
  <si>
    <t>식생-01</t>
  </si>
  <si>
    <t>산림 낙엽</t>
  </si>
  <si>
    <t>1:20 (10g in DW 200mL)</t>
    <phoneticPr fontId="2" type="noConversion"/>
  </si>
  <si>
    <t>식생-02</t>
  </si>
  <si>
    <t>식생-03</t>
  </si>
  <si>
    <t>Plants</t>
    <phoneticPr fontId="2" type="noConversion"/>
  </si>
  <si>
    <t>식생-04</t>
  </si>
  <si>
    <t>수생식물(마름)</t>
  </si>
  <si>
    <t>식생-05</t>
  </si>
  <si>
    <t>수생식물(갈대?)</t>
  </si>
  <si>
    <t>식생-06</t>
  </si>
  <si>
    <t>수생식물(줄)</t>
  </si>
  <si>
    <t>식생-07</t>
  </si>
  <si>
    <t>수생식물(갈대)</t>
  </si>
  <si>
    <t>Alage</t>
    <phoneticPr fontId="2" type="noConversion"/>
  </si>
  <si>
    <t>식생-08</t>
  </si>
  <si>
    <t>부착조류</t>
  </si>
  <si>
    <t>1:100</t>
    <phoneticPr fontId="2" type="noConversion"/>
  </si>
  <si>
    <t>식생-09</t>
  </si>
  <si>
    <t>부유조류</t>
  </si>
  <si>
    <t>식생-10</t>
  </si>
  <si>
    <t>1:100</t>
  </si>
  <si>
    <t>식생-11</t>
  </si>
  <si>
    <t>식생-12</t>
  </si>
  <si>
    <t>부유남조류</t>
  </si>
  <si>
    <t>식생-13</t>
  </si>
  <si>
    <t>1:100 (3g in DW 300mL)</t>
    <phoneticPr fontId="2" type="noConversion"/>
  </si>
  <si>
    <t>식생-14,16</t>
  </si>
  <si>
    <t>식생-15</t>
  </si>
  <si>
    <t>Compost</t>
    <phoneticPr fontId="2" type="noConversion"/>
  </si>
  <si>
    <t>퇴비-02</t>
  </si>
  <si>
    <t>우분 퇴비</t>
  </si>
  <si>
    <t>퇴비-03</t>
  </si>
  <si>
    <t>퇴비</t>
  </si>
  <si>
    <t>퇴비-04</t>
  </si>
  <si>
    <t>퇴비-05</t>
  </si>
  <si>
    <t>Soil</t>
    <phoneticPr fontId="2" type="noConversion"/>
  </si>
  <si>
    <t>Soil-01</t>
    <phoneticPr fontId="2" type="noConversion"/>
  </si>
  <si>
    <t>산림</t>
    <phoneticPr fontId="2" type="noConversion"/>
  </si>
  <si>
    <t>1:10 (30g in DW 300mL)</t>
    <phoneticPr fontId="2" type="noConversion"/>
  </si>
  <si>
    <t>Soil-02</t>
  </si>
  <si>
    <t>과수원(감)</t>
  </si>
  <si>
    <t>Soil-03</t>
  </si>
  <si>
    <t>논</t>
  </si>
  <si>
    <t>Soil-04</t>
  </si>
  <si>
    <t>비닐하우스(쪽파)</t>
  </si>
  <si>
    <t>Soil-05</t>
  </si>
  <si>
    <t>밭</t>
  </si>
  <si>
    <t>Soil-06</t>
  </si>
  <si>
    <t>Soil-07</t>
  </si>
  <si>
    <t>Soil-08</t>
  </si>
  <si>
    <t>Soil-09</t>
  </si>
  <si>
    <t>과수원(배)</t>
  </si>
  <si>
    <t>Soil-10</t>
  </si>
  <si>
    <t>Soil-11</t>
  </si>
  <si>
    <t>Soil-12</t>
  </si>
  <si>
    <t>Soil-13</t>
  </si>
  <si>
    <t>Soil-14</t>
  </si>
  <si>
    <t>밭(고추밭)</t>
  </si>
  <si>
    <t>Soil-15</t>
  </si>
  <si>
    <t>Soil-16</t>
  </si>
  <si>
    <t>산림</t>
  </si>
  <si>
    <t>Soil-17</t>
  </si>
  <si>
    <t>Soil-18</t>
  </si>
  <si>
    <t>Soil-19</t>
  </si>
  <si>
    <t>Soil-20</t>
  </si>
  <si>
    <t>밭(깨)</t>
  </si>
  <si>
    <t>Effluent</t>
    <phoneticPr fontId="2" type="noConversion"/>
  </si>
  <si>
    <t>JS-16S</t>
    <phoneticPr fontId="2" type="noConversion"/>
  </si>
  <si>
    <t>석정천 논 유출수</t>
  </si>
  <si>
    <t>수질 시료</t>
    <phoneticPr fontId="2" type="noConversion"/>
  </si>
  <si>
    <t>JS-26S</t>
    <phoneticPr fontId="2" type="noConversion"/>
  </si>
  <si>
    <t>대초천 논 유출수</t>
  </si>
  <si>
    <t>JS-27</t>
    <phoneticPr fontId="2" type="noConversion"/>
  </si>
  <si>
    <t>지석천 배수로 유출수</t>
  </si>
  <si>
    <t>Sweage</t>
    <phoneticPr fontId="2" type="noConversion"/>
  </si>
  <si>
    <t>JS-20B(4월-2)</t>
    <phoneticPr fontId="2" type="noConversion"/>
  </si>
  <si>
    <t>화순읍 하수처리장 방류수</t>
    <phoneticPr fontId="2" type="noConversion"/>
  </si>
  <si>
    <t>JS-20B(5월-1)</t>
    <phoneticPr fontId="2" type="noConversion"/>
  </si>
  <si>
    <t>JS-20B(5월-2)</t>
  </si>
  <si>
    <t>JS-20B(6월-1)</t>
    <phoneticPr fontId="2" type="noConversion"/>
  </si>
  <si>
    <t>JS-20B(6월-2)</t>
  </si>
  <si>
    <t>JS-20B(7월-1)</t>
    <phoneticPr fontId="2" type="noConversion"/>
  </si>
  <si>
    <t>JS-20B(7월-2)</t>
  </si>
  <si>
    <t>JS-20B(8월-1)</t>
    <phoneticPr fontId="2" type="noConversion"/>
  </si>
  <si>
    <t>JS-20B(8월-2)</t>
    <phoneticPr fontId="2" type="noConversion"/>
  </si>
  <si>
    <t>JS-20B(9월-1)</t>
    <phoneticPr fontId="2" type="noConversion"/>
  </si>
  <si>
    <t>JS-20B(9월-2)</t>
  </si>
  <si>
    <t>JS-22B(6월)</t>
    <phoneticPr fontId="2" type="noConversion"/>
  </si>
  <si>
    <t>도곡온천 하수처리장 방류수</t>
    <phoneticPr fontId="2" type="noConversion"/>
  </si>
  <si>
    <t>JS-22B(8월)</t>
    <phoneticPr fontId="2" type="noConversion"/>
  </si>
  <si>
    <t>JS-35B(6월)</t>
    <phoneticPr fontId="2" type="noConversion"/>
  </si>
  <si>
    <t>산포 하수종말처리시설 방류수</t>
    <phoneticPr fontId="2" type="noConversion"/>
  </si>
  <si>
    <t>JS-9B(6월)</t>
    <phoneticPr fontId="2" type="noConversion"/>
  </si>
  <si>
    <t>이양 마을하수처리시설 방류수</t>
    <phoneticPr fontId="2" type="noConversion"/>
  </si>
  <si>
    <t>JS-9B(7월)</t>
  </si>
  <si>
    <t>JS-9B(8월)</t>
  </si>
  <si>
    <t>JS-9B(9월-1)</t>
    <phoneticPr fontId="2" type="noConversion"/>
  </si>
  <si>
    <t>JS-9B(9월-2)</t>
  </si>
  <si>
    <t>Groundwater</t>
    <phoneticPr fontId="2" type="noConversion"/>
  </si>
  <si>
    <t>GW-1</t>
    <phoneticPr fontId="2" type="noConversion"/>
  </si>
  <si>
    <t>지하수-1</t>
    <phoneticPr fontId="2" type="noConversion"/>
  </si>
  <si>
    <t>GW-2</t>
  </si>
  <si>
    <t>지하수-2</t>
  </si>
  <si>
    <t>GW-3</t>
  </si>
  <si>
    <t>지하수-3</t>
  </si>
  <si>
    <t>GW-4</t>
  </si>
  <si>
    <t>지하수-4</t>
  </si>
  <si>
    <t>참고용</t>
    <phoneticPr fontId="2" type="noConversion"/>
  </si>
  <si>
    <t>퇴비 유출수</t>
    <phoneticPr fontId="2" type="noConversion"/>
  </si>
  <si>
    <t>감정천 퇴비 유출수</t>
  </si>
  <si>
    <t>퇴비-01</t>
    <phoneticPr fontId="2" type="noConversion"/>
  </si>
  <si>
    <t>soil-1</t>
  </si>
  <si>
    <t>soil-2</t>
  </si>
  <si>
    <t>soil-3</t>
  </si>
  <si>
    <t>soil-4</t>
  </si>
  <si>
    <t>soil-5</t>
  </si>
  <si>
    <t>soil-6</t>
  </si>
  <si>
    <t>soil-8</t>
  </si>
  <si>
    <t>soil-9</t>
  </si>
  <si>
    <t>soil-10</t>
  </si>
  <si>
    <t>soil-11</t>
  </si>
  <si>
    <t>soil-12</t>
  </si>
  <si>
    <t>soil-14</t>
  </si>
  <si>
    <t>soil-16</t>
  </si>
  <si>
    <t>soil-17</t>
  </si>
  <si>
    <t>soil-18</t>
  </si>
  <si>
    <t>soil-19</t>
  </si>
  <si>
    <t>soil-20</t>
  </si>
  <si>
    <t>soil-7</t>
  </si>
  <si>
    <t>soil-13</t>
  </si>
  <si>
    <t>soil-15</t>
  </si>
  <si>
    <t>부유조류2,석정천</t>
    <phoneticPr fontId="2" type="noConversion"/>
  </si>
  <si>
    <t>부유조류1,대초천</t>
    <phoneticPr fontId="2" type="noConversion"/>
  </si>
  <si>
    <t>부착조류1,대초천</t>
    <phoneticPr fontId="2" type="noConversion"/>
  </si>
  <si>
    <t>부착조류2,춘양천</t>
    <phoneticPr fontId="2" type="noConversion"/>
  </si>
  <si>
    <t>산림 낙엽(참나무)</t>
    <phoneticPr fontId="2" type="noConversion"/>
  </si>
  <si>
    <t>산림 낙엽(대나무)</t>
    <phoneticPr fontId="2" type="noConversion"/>
  </si>
  <si>
    <t>산림 낙엽(참나무 혼합)</t>
    <phoneticPr fontId="2" type="noConversion"/>
  </si>
  <si>
    <t>밭</t>
    <phoneticPr fontId="2" type="noConversion"/>
  </si>
  <si>
    <t>논</t>
    <phoneticPr fontId="2" type="noConversion"/>
  </si>
  <si>
    <t>비닐하우스</t>
    <phoneticPr fontId="2" type="noConversion"/>
  </si>
  <si>
    <t>과수원</t>
    <phoneticPr fontId="2" type="noConversion"/>
  </si>
  <si>
    <t>산림</t>
    <phoneticPr fontId="2" type="noConversion"/>
  </si>
  <si>
    <t>과수원(퇴비)</t>
    <phoneticPr fontId="2" type="noConversion"/>
  </si>
  <si>
    <t>soil-21</t>
  </si>
  <si>
    <t>soil-22</t>
  </si>
  <si>
    <t>논(soil-A)</t>
    <phoneticPr fontId="2" type="noConversion"/>
  </si>
  <si>
    <t>Effluent</t>
  </si>
  <si>
    <t>산림유출수</t>
    <phoneticPr fontId="2" type="noConversion"/>
  </si>
  <si>
    <t>골프장유출수</t>
    <phoneticPr fontId="2" type="noConversion"/>
  </si>
  <si>
    <t>퇴비유출수</t>
    <phoneticPr fontId="2" type="noConversion"/>
  </si>
  <si>
    <t>농업유출수1</t>
  </si>
  <si>
    <t>농업유출수2</t>
  </si>
  <si>
    <t>농업유출수3</t>
  </si>
  <si>
    <t>농업유출수4</t>
  </si>
  <si>
    <t>농업유출수5</t>
  </si>
  <si>
    <t>농업유출수6</t>
  </si>
  <si>
    <t>농업유출수7</t>
  </si>
  <si>
    <t>농업유출수8</t>
  </si>
  <si>
    <t>sewage</t>
    <phoneticPr fontId="2" type="noConversion"/>
  </si>
  <si>
    <t>효천하수처리장 방류수</t>
    <phoneticPr fontId="2" type="noConversion"/>
  </si>
  <si>
    <t>산포천말단 배출수</t>
    <phoneticPr fontId="2" type="noConversion"/>
  </si>
  <si>
    <t>월곡마을하수처리장</t>
    <phoneticPr fontId="2" type="noConversion"/>
  </si>
  <si>
    <t>04.30 원곡하수</t>
  </si>
  <si>
    <t>JT-23B(7월)</t>
    <phoneticPr fontId="2" type="noConversion"/>
  </si>
  <si>
    <t>회송천 농업유출수</t>
    <phoneticPr fontId="2" type="noConversion"/>
  </si>
  <si>
    <t>JT-4B(8월)</t>
    <phoneticPr fontId="2" type="noConversion"/>
  </si>
  <si>
    <t>식생1(엑셀파일)</t>
    <phoneticPr fontId="2" type="noConversion"/>
  </si>
  <si>
    <t>Soil</t>
    <phoneticPr fontId="2" type="noConversion"/>
  </si>
  <si>
    <t>groundwater</t>
    <phoneticPr fontId="2" type="noConversion"/>
  </si>
  <si>
    <t>GW-1</t>
    <phoneticPr fontId="2" type="noConversion"/>
  </si>
  <si>
    <t>GW-2</t>
    <phoneticPr fontId="2" type="noConversion"/>
  </si>
  <si>
    <t>GW-3</t>
    <phoneticPr fontId="2" type="noConversion"/>
  </si>
  <si>
    <t>석정천(과수원)</t>
    <phoneticPr fontId="2" type="noConversion"/>
  </si>
  <si>
    <t>노동천(비닐하우스)</t>
    <phoneticPr fontId="2" type="noConversion"/>
  </si>
  <si>
    <t>대촌천(비닐하우스)</t>
    <phoneticPr fontId="2" type="noConversion"/>
  </si>
  <si>
    <t>석정천 상류</t>
    <phoneticPr fontId="2" type="noConversion"/>
  </si>
  <si>
    <t>회송천 말단 측구</t>
    <phoneticPr fontId="2" type="noConversion"/>
  </si>
  <si>
    <t>유곡천 상류 측구</t>
    <phoneticPr fontId="2" type="noConversion"/>
  </si>
  <si>
    <t>대초천 말단 측구</t>
    <phoneticPr fontId="2" type="noConversion"/>
  </si>
  <si>
    <t>수춘천 측구</t>
    <phoneticPr fontId="2" type="noConversion"/>
  </si>
  <si>
    <t>송학천 골프장 영향지점 합류 후</t>
    <phoneticPr fontId="2" type="noConversion"/>
  </si>
  <si>
    <t>유출수1</t>
    <phoneticPr fontId="2" type="noConversion"/>
  </si>
  <si>
    <t>유출수2</t>
  </si>
  <si>
    <t>유출수3</t>
  </si>
  <si>
    <t>1:100 (2g in DW 200mL)</t>
    <phoneticPr fontId="2" type="noConversion"/>
  </si>
  <si>
    <t>1:100 (0.3g in DW 30mL)</t>
    <phoneticPr fontId="2" type="noConversion"/>
  </si>
  <si>
    <t>1:100 (1g in DW 100mL)</t>
    <phoneticPr fontId="2" type="noConversion"/>
  </si>
  <si>
    <t>1:100 (3g in DW 200mL)</t>
    <phoneticPr fontId="2" type="noConversion"/>
  </si>
  <si>
    <t>JT-23B(4월)</t>
    <phoneticPr fontId="2" type="noConversion"/>
  </si>
  <si>
    <t>JT-23B(7월)</t>
    <phoneticPr fontId="2" type="noConversion"/>
  </si>
  <si>
    <t>JT-28U(4월)</t>
    <phoneticPr fontId="2" type="noConversion"/>
  </si>
  <si>
    <t>-</t>
    <phoneticPr fontId="2" type="noConversion"/>
  </si>
  <si>
    <t>피크 불검출</t>
    <phoneticPr fontId="2" type="noConversion"/>
  </si>
  <si>
    <t xml:space="preserve"> </t>
    <phoneticPr fontId="2" type="noConversion"/>
  </si>
  <si>
    <t>Soil-25</t>
    <phoneticPr fontId="2" type="noConversion"/>
  </si>
  <si>
    <t>Soil-24</t>
    <phoneticPr fontId="2" type="noConversion"/>
  </si>
  <si>
    <t>Effluent-25</t>
    <phoneticPr fontId="2" type="noConversion"/>
  </si>
  <si>
    <t>Effluent-24</t>
    <phoneticPr fontId="2" type="noConversion"/>
  </si>
  <si>
    <t>Leaves-25</t>
    <phoneticPr fontId="2" type="noConversion"/>
  </si>
  <si>
    <t>Leaves-24</t>
    <phoneticPr fontId="2" type="noConversion"/>
  </si>
  <si>
    <t>Plants-25</t>
    <phoneticPr fontId="2" type="noConversion"/>
  </si>
  <si>
    <t>Plants-24</t>
    <phoneticPr fontId="2" type="noConversion"/>
  </si>
  <si>
    <t>Alage-25</t>
    <phoneticPr fontId="2" type="noConversion"/>
  </si>
  <si>
    <t>Alage-24</t>
    <phoneticPr fontId="2" type="noConversion"/>
  </si>
  <si>
    <t>Compost-25</t>
    <phoneticPr fontId="2" type="noConversion"/>
  </si>
  <si>
    <t>Compost-24</t>
    <phoneticPr fontId="2" type="noConversion"/>
  </si>
  <si>
    <t>Sewage-25</t>
    <phoneticPr fontId="2" type="noConversion"/>
  </si>
  <si>
    <t>Sewage-24</t>
    <phoneticPr fontId="2" type="noConversion"/>
  </si>
  <si>
    <t>Groundwater-25</t>
    <phoneticPr fontId="2" type="noConversion"/>
  </si>
  <si>
    <t>Groundwater-24</t>
    <phoneticPr fontId="2" type="noConversion"/>
  </si>
  <si>
    <t>비료-1</t>
  </si>
  <si>
    <t>비료-2</t>
  </si>
  <si>
    <t>비료-3</t>
  </si>
  <si>
    <t>비료-4</t>
  </si>
  <si>
    <t>퇴비</t>
    <phoneticPr fontId="2" type="noConversion"/>
  </si>
  <si>
    <t>시판퇴비</t>
    <phoneticPr fontId="2" type="noConversion"/>
  </si>
  <si>
    <t>적치퇴비</t>
    <phoneticPr fontId="2" type="noConversion"/>
  </si>
  <si>
    <t>강우-1</t>
    <phoneticPr fontId="2" type="noConversion"/>
  </si>
  <si>
    <t>강우-2</t>
  </si>
  <si>
    <t>퇴비-06</t>
  </si>
  <si>
    <t>우분퇴비(만봉천)</t>
    <phoneticPr fontId="2" type="noConversion"/>
  </si>
  <si>
    <t>퇴비-07</t>
  </si>
  <si>
    <t>우분퇴비(영산천)</t>
    <phoneticPr fontId="2" type="noConversion"/>
  </si>
  <si>
    <t>퇴비-08</t>
  </si>
  <si>
    <t>우분퇴비(승가교)</t>
    <phoneticPr fontId="2" type="noConversion"/>
  </si>
  <si>
    <t>퇴비-09</t>
  </si>
  <si>
    <t>우분퇴비(남평)</t>
    <phoneticPr fontId="2" type="noConversion"/>
  </si>
  <si>
    <t>퇴비-10</t>
  </si>
  <si>
    <t>돈분퇴비</t>
    <phoneticPr fontId="2" type="noConversion"/>
  </si>
  <si>
    <t>1:250(안정동위원소), 1:100(유기물)</t>
    <phoneticPr fontId="2" type="noConversion"/>
  </si>
  <si>
    <t>화학비료</t>
    <phoneticPr fontId="2" type="noConversion"/>
  </si>
  <si>
    <t>비료-1</t>
    <phoneticPr fontId="2" type="noConversion"/>
  </si>
  <si>
    <t>슈퍼오레가</t>
    <phoneticPr fontId="2" type="noConversion"/>
  </si>
  <si>
    <t>뿌리조은 황플러스</t>
    <phoneticPr fontId="2" type="noConversion"/>
  </si>
  <si>
    <t>어분골드(유기질)</t>
    <phoneticPr fontId="2" type="noConversion"/>
  </si>
  <si>
    <t>1:10 (10g in DW 100mL)</t>
    <phoneticPr fontId="2" type="noConversion"/>
  </si>
  <si>
    <t>강우</t>
    <phoneticPr fontId="2" type="noConversion"/>
  </si>
  <si>
    <t>Soil-2025</t>
    <phoneticPr fontId="2" type="noConversion"/>
  </si>
  <si>
    <t>Soil-2024</t>
    <phoneticPr fontId="2" type="noConversion"/>
  </si>
  <si>
    <t>Manure-2025</t>
    <phoneticPr fontId="2" type="noConversion"/>
  </si>
  <si>
    <t>Manure-2024</t>
    <phoneticPr fontId="2" type="noConversion"/>
  </si>
  <si>
    <t>Sewage-2025</t>
    <phoneticPr fontId="2" type="noConversion"/>
  </si>
  <si>
    <t>Sewage-2024</t>
    <phoneticPr fontId="2" type="noConversion"/>
  </si>
  <si>
    <t>Effluent-2025</t>
    <phoneticPr fontId="2" type="noConversion"/>
  </si>
  <si>
    <t>Effluent-2024</t>
    <phoneticPr fontId="2" type="noConversion"/>
  </si>
  <si>
    <t>GW-2025</t>
    <phoneticPr fontId="2" type="noConversion"/>
  </si>
  <si>
    <t>GW-2024</t>
    <phoneticPr fontId="2" type="noConversion"/>
  </si>
  <si>
    <t>비료-2025</t>
    <phoneticPr fontId="2" type="noConversion"/>
  </si>
  <si>
    <t>비료-2024</t>
    <phoneticPr fontId="2" type="noConversion"/>
  </si>
  <si>
    <t>강우-2024</t>
    <phoneticPr fontId="2" type="noConversion"/>
  </si>
  <si>
    <t>강우-2025</t>
    <phoneticPr fontId="2" type="noConversion"/>
  </si>
  <si>
    <t>퇴비+밑거름</t>
    <phoneticPr fontId="2" type="noConversion"/>
  </si>
  <si>
    <t>비료-5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</si>
</sst>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.000_ "/>
    <numFmt numFmtId="177" formatCode="0_ "/>
    <numFmt numFmtId="178" formatCode="0.00_ "/>
  </numFmts>
  <fonts count="11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b/>
      <sz val="12"/>
      <color indexed="81"/>
      <name val="Tahoma"/>
      <family val="2"/>
    </font>
    <font>
      <b/>
      <sz val="12"/>
      <color indexed="81"/>
      <name val="돋움"/>
      <family val="3"/>
      <charset val="129"/>
    </font>
    <font>
      <b/>
      <sz val="11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66">
    <xf numFmtId="0" fontId="0" fillId="0" borderId="0" xfId="0">
      <alignment vertical="center"/>
    </xf>
    <xf numFmtId="176" fontId="1" fillId="2" borderId="1" xfId="0" applyNumberFormat="1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 shrinkToFit="1"/>
    </xf>
    <xf numFmtId="49" fontId="1" fillId="2" borderId="1" xfId="0" applyNumberFormat="1" applyFont="1" applyFill="1" applyBorder="1" applyAlignment="1">
      <alignment horizontal="center" vertical="center" shrinkToFi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177" fontId="3" fillId="6" borderId="1" xfId="0" applyNumberFormat="1" applyFont="1" applyFill="1" applyBorder="1" applyAlignment="1">
      <alignment horizontal="center" vertical="center"/>
    </xf>
    <xf numFmtId="177" fontId="3" fillId="6" borderId="1" xfId="0" applyNumberFormat="1" applyFont="1" applyFill="1" applyBorder="1" applyAlignment="1">
      <alignment horizontal="center" vertical="center" shrinkToFit="1"/>
    </xf>
    <xf numFmtId="49" fontId="1" fillId="6" borderId="1" xfId="0" applyNumberFormat="1" applyFont="1" applyFill="1" applyBorder="1" applyAlignment="1">
      <alignment horizontal="center" vertical="center" shrinkToFit="1"/>
    </xf>
    <xf numFmtId="49" fontId="3" fillId="6" borderId="1" xfId="0" applyNumberFormat="1" applyFont="1" applyFill="1" applyBorder="1" applyAlignment="1">
      <alignment horizontal="center" vertical="center" shrinkToFit="1"/>
    </xf>
    <xf numFmtId="178" fontId="0" fillId="0" borderId="1" xfId="0" applyNumberFormat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77" fontId="3" fillId="8" borderId="1" xfId="0" applyNumberFormat="1" applyFont="1" applyFill="1" applyBorder="1" applyAlignment="1">
      <alignment horizontal="center" vertical="center"/>
    </xf>
    <xf numFmtId="177" fontId="3" fillId="8" borderId="1" xfId="0" applyNumberFormat="1" applyFont="1" applyFill="1" applyBorder="1" applyAlignment="1">
      <alignment horizontal="center" vertical="center" shrinkToFit="1"/>
    </xf>
    <xf numFmtId="49" fontId="3" fillId="8" borderId="1" xfId="0" applyNumberFormat="1" applyFont="1" applyFill="1" applyBorder="1" applyAlignment="1">
      <alignment horizontal="center" vertical="center" shrinkToFit="1"/>
    </xf>
    <xf numFmtId="0" fontId="0" fillId="7" borderId="1" xfId="0" applyFill="1" applyBorder="1">
      <alignment vertical="center"/>
    </xf>
    <xf numFmtId="0" fontId="0" fillId="5" borderId="1" xfId="0" applyFill="1" applyBorder="1">
      <alignment vertical="center"/>
    </xf>
    <xf numFmtId="177" fontId="1" fillId="8" borderId="1" xfId="0" applyNumberFormat="1" applyFont="1" applyFill="1" applyBorder="1" applyAlignment="1">
      <alignment horizontal="center" vertical="center" shrinkToFit="1"/>
    </xf>
    <xf numFmtId="2" fontId="0" fillId="8" borderId="1" xfId="0" applyNumberFormat="1" applyFill="1" applyBorder="1" applyAlignment="1">
      <alignment horizontal="center" vertical="center"/>
    </xf>
    <xf numFmtId="178" fontId="4" fillId="8" borderId="1" xfId="0" applyNumberFormat="1" applyFont="1" applyFill="1" applyBorder="1" applyAlignment="1">
      <alignment horizontal="center" vertical="center"/>
    </xf>
    <xf numFmtId="49" fontId="0" fillId="8" borderId="1" xfId="0" applyNumberFormat="1" applyFill="1" applyBorder="1" applyAlignment="1">
      <alignment horizontal="center" vertical="center"/>
    </xf>
    <xf numFmtId="177" fontId="1" fillId="6" borderId="1" xfId="0" applyNumberFormat="1" applyFont="1" applyFill="1" applyBorder="1" applyAlignment="1">
      <alignment horizontal="center" vertical="center" shrinkToFit="1"/>
    </xf>
    <xf numFmtId="2" fontId="0" fillId="0" borderId="1" xfId="0" applyNumberForma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178" fontId="4" fillId="9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49" fontId="3" fillId="0" borderId="1" xfId="0" applyNumberFormat="1" applyFont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shrinkToFit="1"/>
    </xf>
    <xf numFmtId="177" fontId="3" fillId="0" borderId="1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 shrinkToFit="1"/>
    </xf>
    <xf numFmtId="177" fontId="1" fillId="0" borderId="1" xfId="0" applyNumberFormat="1" applyFont="1" applyBorder="1" applyAlignment="1">
      <alignment horizontal="center" vertical="center" shrinkToFit="1"/>
    </xf>
    <xf numFmtId="0" fontId="10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2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0" fillId="10" borderId="0" xfId="0" applyFill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20" fontId="0" fillId="0" borderId="1" xfId="0" applyNumberFormat="1" applyBorder="1" applyAlignment="1">
      <alignment horizontal="center" vertical="center"/>
    </xf>
    <xf numFmtId="2" fontId="0" fillId="0" borderId="1" xfId="0" applyNumberFormat="1" applyBorder="1">
      <alignment vertical="center"/>
    </xf>
    <xf numFmtId="0" fontId="0" fillId="10" borderId="0" xfId="0" applyFill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178" fontId="4" fillId="11" borderId="1" xfId="0" applyNumberFormat="1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2" fontId="0" fillId="11" borderId="1" xfId="0" applyNumberFormat="1" applyFill="1" applyBorder="1" applyAlignment="1">
      <alignment horizontal="center" vertical="center"/>
    </xf>
    <xf numFmtId="178" fontId="3" fillId="4" borderId="1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78" fontId="0" fillId="0" borderId="1" xfId="0" applyNumberFormat="1" applyFill="1" applyBorder="1" applyAlignment="1">
      <alignment horizontal="center" vertical="center"/>
    </xf>
    <xf numFmtId="2" fontId="0" fillId="7" borderId="1" xfId="0" applyNumberFormat="1" applyFill="1" applyBorder="1" applyAlignment="1">
      <alignment horizontal="center" vertical="center"/>
    </xf>
    <xf numFmtId="178" fontId="0" fillId="7" borderId="1" xfId="0" applyNumberForma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2" fontId="0" fillId="0" borderId="1" xfId="0" applyNumberForma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453078270300697E-2"/>
          <c:y val="3.7670409542002507E-2"/>
          <c:w val="0.6856330685002362"/>
          <c:h val="0.82979056981782617"/>
        </c:manualLayout>
      </c:layout>
      <c:scatterChart>
        <c:scatterStyle val="lineMarker"/>
        <c:varyColors val="0"/>
        <c:ser>
          <c:idx val="0"/>
          <c:order val="0"/>
          <c:tx>
            <c:strRef>
              <c:f>EM_total_유기물형광지표!$B$33</c:f>
              <c:strCache>
                <c:ptCount val="1"/>
                <c:pt idx="0">
                  <c:v>Soil-25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C0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EM_total_유기물형광지표!$F$33:$F$54</c:f>
              <c:numCache>
                <c:formatCode>0.00</c:formatCode>
                <c:ptCount val="22"/>
                <c:pt idx="0">
                  <c:v>0.52457611999999998</c:v>
                </c:pt>
                <c:pt idx="1">
                  <c:v>0.81727892000000002</c:v>
                </c:pt>
                <c:pt idx="2">
                  <c:v>0.61353095000000002</c:v>
                </c:pt>
                <c:pt idx="3">
                  <c:v>0.65758879000000003</c:v>
                </c:pt>
                <c:pt idx="4">
                  <c:v>0.58170237000000002</c:v>
                </c:pt>
                <c:pt idx="5">
                  <c:v>0.58404855</c:v>
                </c:pt>
                <c:pt idx="6">
                  <c:v>0.52470391999999999</c:v>
                </c:pt>
                <c:pt idx="7">
                  <c:v>0.54793464000000003</c:v>
                </c:pt>
                <c:pt idx="8">
                  <c:v>0.49994714000000001</c:v>
                </c:pt>
                <c:pt idx="9">
                  <c:v>0.63941674999999998</c:v>
                </c:pt>
                <c:pt idx="10">
                  <c:v>0.52299496999999995</c:v>
                </c:pt>
                <c:pt idx="11">
                  <c:v>0.53973015999999996</c:v>
                </c:pt>
                <c:pt idx="12">
                  <c:v>0.57185202000000002</c:v>
                </c:pt>
                <c:pt idx="13">
                  <c:v>0.59341719999999998</c:v>
                </c:pt>
                <c:pt idx="14">
                  <c:v>1.0334368</c:v>
                </c:pt>
                <c:pt idx="15">
                  <c:v>0.66716489999999995</c:v>
                </c:pt>
                <c:pt idx="16">
                  <c:v>0.48866626000000002</c:v>
                </c:pt>
                <c:pt idx="17">
                  <c:v>0.55226823000000003</c:v>
                </c:pt>
                <c:pt idx="18">
                  <c:v>0.43838036000000002</c:v>
                </c:pt>
                <c:pt idx="19">
                  <c:v>0.50746172000000001</c:v>
                </c:pt>
                <c:pt idx="20">
                  <c:v>0.66397598999999996</c:v>
                </c:pt>
                <c:pt idx="21">
                  <c:v>0.57891486999999997</c:v>
                </c:pt>
              </c:numCache>
            </c:numRef>
          </c:xVal>
          <c:yVal>
            <c:numRef>
              <c:f>EM_total_유기물형광지표!$G$33:$G$54</c:f>
              <c:numCache>
                <c:formatCode>General</c:formatCode>
                <c:ptCount val="22"/>
                <c:pt idx="0" formatCode="0.00">
                  <c:v>1.1389050000000001</c:v>
                </c:pt>
                <c:pt idx="2" formatCode="0.00">
                  <c:v>1.1658522</c:v>
                </c:pt>
                <c:pt idx="3" formatCode="0.00">
                  <c:v>1.2896307</c:v>
                </c:pt>
                <c:pt idx="4" formatCode="0.00">
                  <c:v>1.2419627</c:v>
                </c:pt>
                <c:pt idx="5" formatCode="0.00">
                  <c:v>1.2383124999999999</c:v>
                </c:pt>
                <c:pt idx="6" formatCode="0.00">
                  <c:v>1.1680168</c:v>
                </c:pt>
                <c:pt idx="7" formatCode="0.00">
                  <c:v>1.2595050000000001</c:v>
                </c:pt>
                <c:pt idx="8" formatCode="0.00">
                  <c:v>1.1141143</c:v>
                </c:pt>
                <c:pt idx="9" formatCode="0.00">
                  <c:v>1.2906054</c:v>
                </c:pt>
                <c:pt idx="10" formatCode="0.00">
                  <c:v>1.1679872</c:v>
                </c:pt>
                <c:pt idx="11" formatCode="0.00">
                  <c:v>1.2110197</c:v>
                </c:pt>
                <c:pt idx="12" formatCode="0.00">
                  <c:v>1.1939017999999999</c:v>
                </c:pt>
                <c:pt idx="13" formatCode="0.00">
                  <c:v>1.2703684</c:v>
                </c:pt>
                <c:pt idx="15" formatCode="0.00">
                  <c:v>1.3474322000000001</c:v>
                </c:pt>
                <c:pt idx="16" formatCode="0.00">
                  <c:v>1.1404590999999999</c:v>
                </c:pt>
                <c:pt idx="17" formatCode="0.00">
                  <c:v>1.2074729</c:v>
                </c:pt>
                <c:pt idx="18" formatCode="0.00">
                  <c:v>1.1205012999999999</c:v>
                </c:pt>
                <c:pt idx="19" formatCode="0.00">
                  <c:v>1.1938092</c:v>
                </c:pt>
                <c:pt idx="20" formatCode="0.00">
                  <c:v>1.3825225999999999</c:v>
                </c:pt>
                <c:pt idx="21" formatCode="0.00">
                  <c:v>1.2055952999999999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81-445A-A9AD-B15F377D7DE9}"/>
            </c:ext>
          </c:extLst>
        </c:ser>
        <c:ser>
          <c:idx val="1"/>
          <c:order val="1"/>
          <c:tx>
            <c:strRef>
              <c:f>EM_total_유기물형광지표!$B$55</c:f>
              <c:strCache>
                <c:ptCount val="1"/>
                <c:pt idx="0">
                  <c:v>Soil-24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rgbClr val="C0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EM_total_유기물형광지표!$F$55:$F$74</c:f>
              <c:numCache>
                <c:formatCode>0.00</c:formatCode>
                <c:ptCount val="20"/>
                <c:pt idx="0">
                  <c:v>0.67759767999999998</c:v>
                </c:pt>
                <c:pt idx="1">
                  <c:v>0.54516673999999998</c:v>
                </c:pt>
                <c:pt idx="2">
                  <c:v>0.64617754999999999</c:v>
                </c:pt>
                <c:pt idx="3">
                  <c:v>0.53042626999999998</c:v>
                </c:pt>
                <c:pt idx="4">
                  <c:v>0.62658780999999997</c:v>
                </c:pt>
                <c:pt idx="5">
                  <c:v>0.66664743000000004</c:v>
                </c:pt>
                <c:pt idx="6">
                  <c:v>0.57963251000000005</c:v>
                </c:pt>
                <c:pt idx="7">
                  <c:v>0.62148999000000005</c:v>
                </c:pt>
                <c:pt idx="8">
                  <c:v>0.73918561999999999</c:v>
                </c:pt>
                <c:pt idx="9">
                  <c:v>0.67806681999999996</c:v>
                </c:pt>
                <c:pt idx="10">
                  <c:v>0.64439422000000002</c:v>
                </c:pt>
                <c:pt idx="11">
                  <c:v>0.58166293999999996</c:v>
                </c:pt>
                <c:pt idx="12">
                  <c:v>0.80445290000000003</c:v>
                </c:pt>
                <c:pt idx="13">
                  <c:v>0.66997894999999996</c:v>
                </c:pt>
                <c:pt idx="14">
                  <c:v>0.4070453</c:v>
                </c:pt>
                <c:pt idx="15">
                  <c:v>0.47329740999999997</c:v>
                </c:pt>
                <c:pt idx="16">
                  <c:v>0.41013918999999999</c:v>
                </c:pt>
                <c:pt idx="17">
                  <c:v>0.44111872000000002</c:v>
                </c:pt>
                <c:pt idx="18">
                  <c:v>0.60338687000000002</c:v>
                </c:pt>
                <c:pt idx="19">
                  <c:v>0.25352152999999999</c:v>
                </c:pt>
              </c:numCache>
            </c:numRef>
          </c:xVal>
          <c:yVal>
            <c:numRef>
              <c:f>EM_total_유기물형광지표!$G$55:$G$74</c:f>
              <c:numCache>
                <c:formatCode>0.00</c:formatCode>
                <c:ptCount val="20"/>
                <c:pt idx="0">
                  <c:v>1.3672419</c:v>
                </c:pt>
                <c:pt idx="1">
                  <c:v>1.2168981999999999</c:v>
                </c:pt>
                <c:pt idx="2">
                  <c:v>1.2991196</c:v>
                </c:pt>
                <c:pt idx="3">
                  <c:v>1.2029145999999999</c:v>
                </c:pt>
                <c:pt idx="4">
                  <c:v>1.2702434</c:v>
                </c:pt>
                <c:pt idx="5">
                  <c:v>1.3213185000000001</c:v>
                </c:pt>
                <c:pt idx="6">
                  <c:v>1.2683205</c:v>
                </c:pt>
                <c:pt idx="7">
                  <c:v>1.2475295</c:v>
                </c:pt>
                <c:pt idx="9">
                  <c:v>1.3522186</c:v>
                </c:pt>
                <c:pt idx="10">
                  <c:v>1.3306944000000001</c:v>
                </c:pt>
                <c:pt idx="11">
                  <c:v>1.2001599000000001</c:v>
                </c:pt>
                <c:pt idx="13">
                  <c:v>1.3106876000000001</c:v>
                </c:pt>
                <c:pt idx="18">
                  <c:v>1.2379784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A81-445A-A9AD-B15F377D7DE9}"/>
            </c:ext>
          </c:extLst>
        </c:ser>
        <c:ser>
          <c:idx val="2"/>
          <c:order val="2"/>
          <c:tx>
            <c:strRef>
              <c:f>EM_total_유기물형광지표!$B$75</c:f>
              <c:strCache>
                <c:ptCount val="1"/>
                <c:pt idx="0">
                  <c:v>Effluent-25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4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EM_total_유기물형광지표!$F$75:$F$87</c:f>
              <c:numCache>
                <c:formatCode>0.00</c:formatCode>
                <c:ptCount val="13"/>
                <c:pt idx="0">
                  <c:v>0.69962745999999998</c:v>
                </c:pt>
                <c:pt idx="1">
                  <c:v>0.70857477000000002</c:v>
                </c:pt>
                <c:pt idx="2">
                  <c:v>0.85454545000000004</c:v>
                </c:pt>
                <c:pt idx="3">
                  <c:v>0.73598697000000002</c:v>
                </c:pt>
                <c:pt idx="4">
                  <c:v>0.72820821000000002</c:v>
                </c:pt>
                <c:pt idx="5">
                  <c:v>0.92959597000000005</c:v>
                </c:pt>
                <c:pt idx="6">
                  <c:v>0.76689249999999998</c:v>
                </c:pt>
                <c:pt idx="7">
                  <c:v>0.75465125</c:v>
                </c:pt>
                <c:pt idx="8">
                  <c:v>0.69863005</c:v>
                </c:pt>
                <c:pt idx="9">
                  <c:v>0.73464337000000002</c:v>
                </c:pt>
                <c:pt idx="10">
                  <c:v>0.70999155000000003</c:v>
                </c:pt>
                <c:pt idx="11">
                  <c:v>0.90055923000000004</c:v>
                </c:pt>
                <c:pt idx="12">
                  <c:v>0.58422556000000003</c:v>
                </c:pt>
              </c:numCache>
            </c:numRef>
          </c:xVal>
          <c:yVal>
            <c:numRef>
              <c:f>EM_total_유기물형광지표!$G$75:$G$87</c:f>
              <c:numCache>
                <c:formatCode>0.00</c:formatCode>
                <c:ptCount val="13"/>
                <c:pt idx="0">
                  <c:v>1.2337575999999999</c:v>
                </c:pt>
                <c:pt idx="1">
                  <c:v>1.2931969000000001</c:v>
                </c:pt>
                <c:pt idx="3">
                  <c:v>1.3409952000000001</c:v>
                </c:pt>
                <c:pt idx="4">
                  <c:v>1.2573721</c:v>
                </c:pt>
                <c:pt idx="5">
                  <c:v>1.4216845</c:v>
                </c:pt>
                <c:pt idx="6">
                  <c:v>1.3606240000000001</c:v>
                </c:pt>
                <c:pt idx="7">
                  <c:v>1.3601688999999999</c:v>
                </c:pt>
                <c:pt idx="8">
                  <c:v>1.3424472999999999</c:v>
                </c:pt>
                <c:pt idx="9">
                  <c:v>1.3210763000000001</c:v>
                </c:pt>
                <c:pt idx="10">
                  <c:v>1.3099749999999999</c:v>
                </c:pt>
                <c:pt idx="11">
                  <c:v>1.3676060000000001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A81-445A-A9AD-B15F377D7DE9}"/>
            </c:ext>
          </c:extLst>
        </c:ser>
        <c:ser>
          <c:idx val="3"/>
          <c:order val="3"/>
          <c:tx>
            <c:strRef>
              <c:f>EM_total_유기물형광지표!$B$88</c:f>
              <c:strCache>
                <c:ptCount val="1"/>
                <c:pt idx="0">
                  <c:v>Effluent-24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chemeClr val="accent4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EM_total_유기물형광지표!$F$88:$F$92</c:f>
              <c:numCache>
                <c:formatCode>0.00</c:formatCode>
                <c:ptCount val="5"/>
                <c:pt idx="0">
                  <c:v>0.70751662999999998</c:v>
                </c:pt>
                <c:pt idx="1">
                  <c:v>0.69678355999999997</c:v>
                </c:pt>
                <c:pt idx="2">
                  <c:v>0.81</c:v>
                </c:pt>
                <c:pt idx="3">
                  <c:v>0.74504457999999996</c:v>
                </c:pt>
                <c:pt idx="4">
                  <c:v>0.73318718999999999</c:v>
                </c:pt>
              </c:numCache>
            </c:numRef>
          </c:xVal>
          <c:yVal>
            <c:numRef>
              <c:f>EM_total_유기물형광지표!$G$88:$G$92</c:f>
              <c:numCache>
                <c:formatCode>0.00</c:formatCode>
                <c:ptCount val="5"/>
                <c:pt idx="0">
                  <c:v>1.3419743</c:v>
                </c:pt>
                <c:pt idx="1">
                  <c:v>1.3507718</c:v>
                </c:pt>
                <c:pt idx="2">
                  <c:v>1.33</c:v>
                </c:pt>
                <c:pt idx="3">
                  <c:v>1.2784743999999999</c:v>
                </c:pt>
                <c:pt idx="4">
                  <c:v>1.2976907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A81-445A-A9AD-B15F377D7DE9}"/>
            </c:ext>
          </c:extLst>
        </c:ser>
        <c:ser>
          <c:idx val="4"/>
          <c:order val="4"/>
          <c:tx>
            <c:strRef>
              <c:f>EM_total_유기물형광지표!$B$93</c:f>
              <c:strCache>
                <c:ptCount val="1"/>
                <c:pt idx="0">
                  <c:v>Sewage-25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0070C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EM_total_유기물형광지표!$F$93:$F$96</c:f>
              <c:numCache>
                <c:formatCode>0.00</c:formatCode>
                <c:ptCount val="4"/>
                <c:pt idx="0">
                  <c:v>1.2001085</c:v>
                </c:pt>
                <c:pt idx="1">
                  <c:v>1.213748</c:v>
                </c:pt>
                <c:pt idx="2">
                  <c:v>1.3605714</c:v>
                </c:pt>
                <c:pt idx="3">
                  <c:v>1.213748</c:v>
                </c:pt>
              </c:numCache>
            </c:numRef>
          </c:xVal>
          <c:yVal>
            <c:numRef>
              <c:f>EM_total_유기물형광지표!$G$93:$G$96</c:f>
              <c:numCache>
                <c:formatCode>0.00</c:formatCode>
                <c:ptCount val="4"/>
                <c:pt idx="0">
                  <c:v>1.6363198999999999</c:v>
                </c:pt>
                <c:pt idx="1">
                  <c:v>1.586244</c:v>
                </c:pt>
                <c:pt idx="2">
                  <c:v>1.5625167</c:v>
                </c:pt>
                <c:pt idx="3">
                  <c:v>1.586244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A81-445A-A9AD-B15F377D7DE9}"/>
            </c:ext>
          </c:extLst>
        </c:ser>
        <c:ser>
          <c:idx val="5"/>
          <c:order val="5"/>
          <c:tx>
            <c:strRef>
              <c:f>EM_total_유기물형광지표!$B$97</c:f>
              <c:strCache>
                <c:ptCount val="1"/>
                <c:pt idx="0">
                  <c:v>Sewage-24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rgbClr val="0070C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EM_total_유기물형광지표!$F$97:$F$115</c:f>
              <c:numCache>
                <c:formatCode>0.00</c:formatCode>
                <c:ptCount val="19"/>
                <c:pt idx="0">
                  <c:v>1.0878205000000001</c:v>
                </c:pt>
                <c:pt idx="1">
                  <c:v>1.0619810000000001</c:v>
                </c:pt>
                <c:pt idx="2">
                  <c:v>1.1160378</c:v>
                </c:pt>
                <c:pt idx="3">
                  <c:v>1.2237909</c:v>
                </c:pt>
                <c:pt idx="4">
                  <c:v>1.1088718</c:v>
                </c:pt>
                <c:pt idx="5">
                  <c:v>1.018926</c:v>
                </c:pt>
                <c:pt idx="6">
                  <c:v>1.0299684</c:v>
                </c:pt>
                <c:pt idx="7">
                  <c:v>1.0100643</c:v>
                </c:pt>
                <c:pt idx="8">
                  <c:v>1.0534678</c:v>
                </c:pt>
                <c:pt idx="9">
                  <c:v>1.0926715</c:v>
                </c:pt>
                <c:pt idx="10">
                  <c:v>0.92182122</c:v>
                </c:pt>
                <c:pt idx="11" formatCode="0.00_ ">
                  <c:v>1.4081307000000001</c:v>
                </c:pt>
                <c:pt idx="12" formatCode="0.00_ ">
                  <c:v>1.5254558</c:v>
                </c:pt>
                <c:pt idx="13" formatCode="0.00_ ">
                  <c:v>1.120441</c:v>
                </c:pt>
                <c:pt idx="14" formatCode="0.00_ ">
                  <c:v>1.2820104999999999</c:v>
                </c:pt>
                <c:pt idx="15" formatCode="0.00_ ">
                  <c:v>1.3164754000000001</c:v>
                </c:pt>
                <c:pt idx="16" formatCode="0.00_ ">
                  <c:v>1.3179102</c:v>
                </c:pt>
                <c:pt idx="17" formatCode="0.00_ ">
                  <c:v>1.2843937000000001</c:v>
                </c:pt>
                <c:pt idx="18" formatCode="0.00_ ">
                  <c:v>1.0758078</c:v>
                </c:pt>
              </c:numCache>
            </c:numRef>
          </c:xVal>
          <c:yVal>
            <c:numRef>
              <c:f>EM_total_유기물형광지표!$G$97:$G$115</c:f>
              <c:numCache>
                <c:formatCode>0.00</c:formatCode>
                <c:ptCount val="19"/>
                <c:pt idx="0">
                  <c:v>1.5689841</c:v>
                </c:pt>
                <c:pt idx="1">
                  <c:v>1.4963291999999999</c:v>
                </c:pt>
                <c:pt idx="2">
                  <c:v>1.5028785</c:v>
                </c:pt>
                <c:pt idx="3">
                  <c:v>1.5051988999999999</c:v>
                </c:pt>
                <c:pt idx="4">
                  <c:v>1.5697958000000001</c:v>
                </c:pt>
                <c:pt idx="5">
                  <c:v>1.5482205</c:v>
                </c:pt>
                <c:pt idx="6">
                  <c:v>1.5199166</c:v>
                </c:pt>
                <c:pt idx="7">
                  <c:v>1.4914305000000001</c:v>
                </c:pt>
                <c:pt idx="8">
                  <c:v>1.5458483999999999</c:v>
                </c:pt>
                <c:pt idx="9">
                  <c:v>1.5037609999999999</c:v>
                </c:pt>
                <c:pt idx="11" formatCode="0.00_ ">
                  <c:v>1.6120125999999999</c:v>
                </c:pt>
                <c:pt idx="13" formatCode="0.00_ ">
                  <c:v>1.6853969</c:v>
                </c:pt>
                <c:pt idx="14" formatCode="0.00_ ">
                  <c:v>1.5806909</c:v>
                </c:pt>
                <c:pt idx="15" formatCode="0.00_ ">
                  <c:v>1.5301155</c:v>
                </c:pt>
                <c:pt idx="16" formatCode="0.00_ ">
                  <c:v>1.5418554</c:v>
                </c:pt>
                <c:pt idx="17" formatCode="0.00_ ">
                  <c:v>1.5859576</c:v>
                </c:pt>
                <c:pt idx="18" formatCode="0.00_ ">
                  <c:v>1.5560365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A81-445A-A9AD-B15F377D7DE9}"/>
            </c:ext>
          </c:extLst>
        </c:ser>
        <c:ser>
          <c:idx val="6"/>
          <c:order val="6"/>
          <c:tx>
            <c:strRef>
              <c:f>EM_total_유기물형광지표!$B$116</c:f>
              <c:strCache>
                <c:ptCount val="1"/>
                <c:pt idx="0">
                  <c:v>Groundwater-25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00B0F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EM_total_유기물형광지표!$F$116:$F$118</c:f>
              <c:numCache>
                <c:formatCode>0.00</c:formatCode>
                <c:ptCount val="3"/>
                <c:pt idx="0">
                  <c:v>1.1705015000000001</c:v>
                </c:pt>
                <c:pt idx="1">
                  <c:v>1.1685551999999999</c:v>
                </c:pt>
                <c:pt idx="2">
                  <c:v>0.89512652000000004</c:v>
                </c:pt>
              </c:numCache>
            </c:numRef>
          </c:xVal>
          <c:yVal>
            <c:numRef>
              <c:f>EM_total_유기물형광지표!$G$116:$G$118</c:f>
              <c:numCache>
                <c:formatCode>0.00</c:formatCode>
                <c:ptCount val="3"/>
                <c:pt idx="0">
                  <c:v>2.2023035000000002</c:v>
                </c:pt>
                <c:pt idx="1">
                  <c:v>2.2803138000000001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A81-445A-A9AD-B15F377D7DE9}"/>
            </c:ext>
          </c:extLst>
        </c:ser>
        <c:ser>
          <c:idx val="7"/>
          <c:order val="7"/>
          <c:tx>
            <c:strRef>
              <c:f>EM_total_유기물형광지표!$B$119</c:f>
              <c:strCache>
                <c:ptCount val="1"/>
                <c:pt idx="0">
                  <c:v>Groundwater-24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rgbClr val="00B0F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EM_total_유기물형광지표!$F$119:$F$122</c:f>
              <c:numCache>
                <c:formatCode>0.00</c:formatCode>
                <c:ptCount val="4"/>
                <c:pt idx="0">
                  <c:v>1.0489337999999999</c:v>
                </c:pt>
                <c:pt idx="1">
                  <c:v>1.0745076</c:v>
                </c:pt>
                <c:pt idx="2">
                  <c:v>1.0744480999999999</c:v>
                </c:pt>
                <c:pt idx="3">
                  <c:v>1.0628266</c:v>
                </c:pt>
              </c:numCache>
            </c:numRef>
          </c:xVal>
          <c:yVal>
            <c:numRef>
              <c:f>EM_total_유기물형광지표!$K$119:$K$122</c:f>
              <c:numCache>
                <c:formatCode>0.00</c:formatCode>
                <c:ptCount val="4"/>
                <c:pt idx="0">
                  <c:v>1.6631912</c:v>
                </c:pt>
                <c:pt idx="1">
                  <c:v>1.6990331999999999</c:v>
                </c:pt>
                <c:pt idx="2">
                  <c:v>1.7888577000000001</c:v>
                </c:pt>
                <c:pt idx="3">
                  <c:v>1.5867036999999999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A81-445A-A9AD-B15F377D7DE9}"/>
            </c:ext>
          </c:extLst>
        </c:ser>
        <c:ser>
          <c:idx val="8"/>
          <c:order val="8"/>
          <c:tx>
            <c:strRef>
              <c:f>EM_total_유기물형광지표!$B$2</c:f>
              <c:strCache>
                <c:ptCount val="1"/>
                <c:pt idx="0">
                  <c:v>Leaves-25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7030A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EM_total_유기물형광지표!$F$2:$F$3</c:f>
              <c:numCache>
                <c:formatCode>0.00_ </c:formatCode>
                <c:ptCount val="2"/>
                <c:pt idx="0">
                  <c:v>5.6856187000000002E-2</c:v>
                </c:pt>
                <c:pt idx="1">
                  <c:v>5.0903120000000003E-2</c:v>
                </c:pt>
              </c:numCache>
            </c:numRef>
          </c:xVal>
          <c:yVal>
            <c:numRef>
              <c:f>EM_total_유기물형광지표!$G$2:$G$3</c:f>
              <c:numCache>
                <c:formatCode>0.00_ </c:formatCode>
                <c:ptCount val="2"/>
                <c:pt idx="0">
                  <c:v>0.41214858999999998</c:v>
                </c:pt>
                <c:pt idx="1">
                  <c:v>0.65042889999999998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A81-445A-A9AD-B15F377D7DE9}"/>
            </c:ext>
          </c:extLst>
        </c:ser>
        <c:ser>
          <c:idx val="9"/>
          <c:order val="9"/>
          <c:tx>
            <c:strRef>
              <c:f>EM_total_유기물형광지표!$B$5</c:f>
              <c:strCache>
                <c:ptCount val="1"/>
                <c:pt idx="0">
                  <c:v>Leaves-24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rgbClr val="7030A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EM_total_유기물형광지표!$F$5:$F$7</c:f>
              <c:numCache>
                <c:formatCode>0.00_ </c:formatCode>
                <c:ptCount val="3"/>
                <c:pt idx="0">
                  <c:v>7.1345029000000004E-2</c:v>
                </c:pt>
                <c:pt idx="1">
                  <c:v>0.19117646999999999</c:v>
                </c:pt>
                <c:pt idx="2">
                  <c:v>9.1056911000000004E-2</c:v>
                </c:pt>
              </c:numCache>
            </c:numRef>
          </c:xVal>
          <c:yVal>
            <c:numRef>
              <c:f>EM_total_유기물형광지표!$G$5:$G$7</c:f>
              <c:numCache>
                <c:formatCode>0.00_ </c:formatCode>
                <c:ptCount val="3"/>
                <c:pt idx="0">
                  <c:v>0.54322497000000003</c:v>
                </c:pt>
                <c:pt idx="1">
                  <c:v>0.33122484000000002</c:v>
                </c:pt>
                <c:pt idx="2">
                  <c:v>0.49982269000000001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4A81-445A-A9AD-B15F377D7DE9}"/>
            </c:ext>
          </c:extLst>
        </c:ser>
        <c:ser>
          <c:idx val="10"/>
          <c:order val="10"/>
          <c:tx>
            <c:strRef>
              <c:f>EM_total_유기물형광지표!$B$8</c:f>
              <c:strCache>
                <c:ptCount val="1"/>
                <c:pt idx="0">
                  <c:v>Plants-25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00B05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EM_total_유기물형광지표!$F$8</c:f>
              <c:numCache>
                <c:formatCode>0.00_ </c:formatCode>
                <c:ptCount val="1"/>
                <c:pt idx="0">
                  <c:v>9.8453283000000003E-2</c:v>
                </c:pt>
              </c:numCache>
            </c:numRef>
          </c:xVal>
          <c:yVal>
            <c:numRef>
              <c:f>EM_total_유기물형광지표!$G$8</c:f>
              <c:numCache>
                <c:formatCode>0.00_ </c:formatCode>
                <c:ptCount val="1"/>
                <c:pt idx="0">
                  <c:v>1.2069160000000001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4A81-445A-A9AD-B15F377D7DE9}"/>
            </c:ext>
          </c:extLst>
        </c:ser>
        <c:ser>
          <c:idx val="11"/>
          <c:order val="11"/>
          <c:tx>
            <c:strRef>
              <c:f>EM_total_유기물형광지표!$B$9</c:f>
              <c:strCache>
                <c:ptCount val="1"/>
                <c:pt idx="0">
                  <c:v>Plants-24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rgbClr val="00B05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EM_total_유기물형광지표!$F$9:$F$12</c:f>
              <c:numCache>
                <c:formatCode>0.00_ </c:formatCode>
                <c:ptCount val="4"/>
                <c:pt idx="0">
                  <c:v>2.4608501000000001E-2</c:v>
                </c:pt>
                <c:pt idx="1">
                  <c:v>9.6138514999999994E-2</c:v>
                </c:pt>
                <c:pt idx="2">
                  <c:v>4.3949305000000001E-2</c:v>
                </c:pt>
                <c:pt idx="3">
                  <c:v>8.4940796999999998E-2</c:v>
                </c:pt>
              </c:numCache>
            </c:numRef>
          </c:xVal>
          <c:yVal>
            <c:numRef>
              <c:f>EM_total_유기물형광지표!$G$9:$G$12</c:f>
              <c:numCache>
                <c:formatCode>0.00_ </c:formatCode>
                <c:ptCount val="4"/>
                <c:pt idx="0">
                  <c:v>1.2474521999999999</c:v>
                </c:pt>
                <c:pt idx="1">
                  <c:v>1.2979887999999999</c:v>
                </c:pt>
                <c:pt idx="2">
                  <c:v>1.2137967000000001</c:v>
                </c:pt>
                <c:pt idx="3">
                  <c:v>1.3070550000000001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4A81-445A-A9AD-B15F377D7DE9}"/>
            </c:ext>
          </c:extLst>
        </c:ser>
        <c:ser>
          <c:idx val="12"/>
          <c:order val="12"/>
          <c:tx>
            <c:strRef>
              <c:f>EM_total_유기물형광지표!$B$13</c:f>
              <c:strCache>
                <c:ptCount val="1"/>
                <c:pt idx="0">
                  <c:v>Alage-25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92D05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EM_total_유기물형광지표!$F$13:$F$16</c:f>
              <c:numCache>
                <c:formatCode>0.00_ </c:formatCode>
                <c:ptCount val="4"/>
                <c:pt idx="0">
                  <c:v>0.76075904000000005</c:v>
                </c:pt>
                <c:pt idx="1">
                  <c:v>0.54505380000000003</c:v>
                </c:pt>
                <c:pt idx="2">
                  <c:v>0.47782972000000001</c:v>
                </c:pt>
                <c:pt idx="3">
                  <c:v>0.73527803000000003</c:v>
                </c:pt>
              </c:numCache>
            </c:numRef>
          </c:xVal>
          <c:yVal>
            <c:numRef>
              <c:f>EM_total_유기물형광지표!$G$13:$G$16</c:f>
              <c:numCache>
                <c:formatCode>0.00_ </c:formatCode>
                <c:ptCount val="4"/>
                <c:pt idx="0">
                  <c:v>1.2585497000000001</c:v>
                </c:pt>
                <c:pt idx="1">
                  <c:v>1.1585510000000001</c:v>
                </c:pt>
                <c:pt idx="2">
                  <c:v>1.0877029</c:v>
                </c:pt>
                <c:pt idx="3">
                  <c:v>1.0939308000000001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4A81-445A-A9AD-B15F377D7DE9}"/>
            </c:ext>
          </c:extLst>
        </c:ser>
        <c:ser>
          <c:idx val="13"/>
          <c:order val="13"/>
          <c:tx>
            <c:strRef>
              <c:f>EM_total_유기물형광지표!$B$17</c:f>
              <c:strCache>
                <c:ptCount val="1"/>
                <c:pt idx="0">
                  <c:v>Alage-24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rgbClr val="92D05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EM_total_유기물형광지표!$F$17:$F$23</c:f>
              <c:numCache>
                <c:formatCode>0.00_ </c:formatCode>
                <c:ptCount val="7"/>
                <c:pt idx="0">
                  <c:v>0.66253231999999995</c:v>
                </c:pt>
                <c:pt idx="1">
                  <c:v>0.65909817999999998</c:v>
                </c:pt>
                <c:pt idx="2">
                  <c:v>0.69011096999999999</c:v>
                </c:pt>
                <c:pt idx="3">
                  <c:v>0.74876264000000003</c:v>
                </c:pt>
                <c:pt idx="4">
                  <c:v>0.54622367999999999</c:v>
                </c:pt>
                <c:pt idx="5">
                  <c:v>0.59125532999999997</c:v>
                </c:pt>
                <c:pt idx="6">
                  <c:v>0.58740621999999998</c:v>
                </c:pt>
              </c:numCache>
            </c:numRef>
          </c:xVal>
          <c:yVal>
            <c:numRef>
              <c:f>EM_total_유기물형광지표!$G$17:$G$23</c:f>
              <c:numCache>
                <c:formatCode>0.00_ </c:formatCode>
                <c:ptCount val="7"/>
                <c:pt idx="0">
                  <c:v>1.4602349999999999</c:v>
                </c:pt>
                <c:pt idx="1">
                  <c:v>1.3749370000000001</c:v>
                </c:pt>
                <c:pt idx="2">
                  <c:v>1.5395901000000001</c:v>
                </c:pt>
                <c:pt idx="3">
                  <c:v>1.3940493</c:v>
                </c:pt>
                <c:pt idx="4">
                  <c:v>1.3658755</c:v>
                </c:pt>
                <c:pt idx="5">
                  <c:v>1.3888729</c:v>
                </c:pt>
                <c:pt idx="6">
                  <c:v>1.3366442999999999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4A81-445A-A9AD-B15F377D7DE9}"/>
            </c:ext>
          </c:extLst>
        </c:ser>
        <c:ser>
          <c:idx val="14"/>
          <c:order val="14"/>
          <c:tx>
            <c:strRef>
              <c:f>EM_total_유기물형광지표!$B$24</c:f>
              <c:strCache>
                <c:ptCount val="1"/>
                <c:pt idx="0">
                  <c:v>Compost-25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bg2">
                  <a:lumMod val="50000"/>
                </a:schemeClr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EM_total_유기물형광지표!$F$24:$F$28</c:f>
              <c:numCache>
                <c:formatCode>0.00_ </c:formatCode>
                <c:ptCount val="5"/>
                <c:pt idx="0">
                  <c:v>0.35724412</c:v>
                </c:pt>
                <c:pt idx="1">
                  <c:v>0.34919582999999998</c:v>
                </c:pt>
                <c:pt idx="2">
                  <c:v>0.38877618000000003</c:v>
                </c:pt>
                <c:pt idx="3">
                  <c:v>0.2264272</c:v>
                </c:pt>
                <c:pt idx="4" formatCode="0.00">
                  <c:v>0.25561518999999999</c:v>
                </c:pt>
              </c:numCache>
            </c:numRef>
          </c:xVal>
          <c:yVal>
            <c:numRef>
              <c:f>EM_total_유기물형광지표!$G$24:$G$28</c:f>
              <c:numCache>
                <c:formatCode>0.00_ </c:formatCode>
                <c:ptCount val="5"/>
                <c:pt idx="0">
                  <c:v>1.0194175999999999</c:v>
                </c:pt>
                <c:pt idx="1">
                  <c:v>1.1583357000000001</c:v>
                </c:pt>
                <c:pt idx="2">
                  <c:v>1.0643672</c:v>
                </c:pt>
                <c:pt idx="3">
                  <c:v>0.67291367999999996</c:v>
                </c:pt>
                <c:pt idx="4" formatCode="0.00">
                  <c:v>0.82384173000000005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4A81-445A-A9AD-B15F377D7DE9}"/>
            </c:ext>
          </c:extLst>
        </c:ser>
        <c:ser>
          <c:idx val="15"/>
          <c:order val="15"/>
          <c:tx>
            <c:strRef>
              <c:f>EM_total_유기물형광지표!$B$29</c:f>
              <c:strCache>
                <c:ptCount val="1"/>
                <c:pt idx="0">
                  <c:v>Compost-24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chemeClr val="bg2">
                  <a:lumMod val="50000"/>
                </a:schemeClr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EM_total_유기물형광지표!$F$29:$F$30</c:f>
              <c:numCache>
                <c:formatCode>0.00_ </c:formatCode>
                <c:ptCount val="2"/>
                <c:pt idx="0">
                  <c:v>0.40384852999999998</c:v>
                </c:pt>
                <c:pt idx="1">
                  <c:v>0.11758989</c:v>
                </c:pt>
              </c:numCache>
            </c:numRef>
          </c:xVal>
          <c:yVal>
            <c:numRef>
              <c:f>EM_total_유기물형광지표!$G$29:$G$30</c:f>
              <c:numCache>
                <c:formatCode>General</c:formatCode>
                <c:ptCount val="2"/>
                <c:pt idx="0" formatCode="0.00_ ">
                  <c:v>0.90452336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4A81-445A-A9AD-B15F377D7D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8789552"/>
        <c:axId val="728790992"/>
      </c:scatterChart>
      <c:valAx>
        <c:axId val="728789552"/>
        <c:scaling>
          <c:orientation val="minMax"/>
          <c:max val="1.6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KoPub돋움체 Bold" panose="00000800000000000000" pitchFamily="2" charset="-127"/>
                    <a:ea typeface="KoPub돋움체 Bold" panose="00000800000000000000" pitchFamily="2" charset="-127"/>
                    <a:cs typeface="+mn-cs"/>
                  </a:defRPr>
                </a:pPr>
                <a:r>
                  <a:rPr lang="en-US" altLang="ko-KR"/>
                  <a:t>BIX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0.42799263487441486"/>
              <c:y val="0.932056329497274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KoPub돋움체 Bold" panose="00000800000000000000" pitchFamily="2" charset="-127"/>
                  <a:ea typeface="KoPub돋움체 Bold" panose="00000800000000000000" pitchFamily="2" charset="-127"/>
                  <a:cs typeface="+mn-cs"/>
                </a:defRPr>
              </a:pPr>
              <a:endParaRPr lang="ko-KR"/>
            </a:p>
          </c:txPr>
        </c:title>
        <c:numFmt formatCode="0.00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KoPub돋움체 Bold" panose="00000800000000000000" pitchFamily="2" charset="-127"/>
                <a:ea typeface="KoPub돋움체 Bold" panose="00000800000000000000" pitchFamily="2" charset="-127"/>
                <a:cs typeface="+mn-cs"/>
              </a:defRPr>
            </a:pPr>
            <a:endParaRPr lang="ko-KR"/>
          </a:p>
        </c:txPr>
        <c:crossAx val="728790992"/>
        <c:crosses val="autoZero"/>
        <c:crossBetween val="midCat"/>
        <c:majorUnit val="0.2"/>
      </c:valAx>
      <c:valAx>
        <c:axId val="728790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KoPub돋움체 Bold" panose="00000800000000000000" pitchFamily="2" charset="-127"/>
                    <a:ea typeface="KoPub돋움체 Bold" panose="00000800000000000000" pitchFamily="2" charset="-127"/>
                    <a:cs typeface="+mn-cs"/>
                  </a:defRPr>
                </a:pPr>
                <a:r>
                  <a:rPr lang="en-US" altLang="ko-KR"/>
                  <a:t>FI</a:t>
                </a:r>
                <a:endParaRPr lang="ko-KR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KoPub돋움체 Bold" panose="00000800000000000000" pitchFamily="2" charset="-127"/>
                  <a:ea typeface="KoPub돋움체 Bold" panose="00000800000000000000" pitchFamily="2" charset="-127"/>
                  <a:cs typeface="+mn-cs"/>
                </a:defRPr>
              </a:pPr>
              <a:endParaRPr lang="ko-K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KoPub돋움체 Bold" panose="00000800000000000000" pitchFamily="2" charset="-127"/>
                <a:ea typeface="KoPub돋움체 Bold" panose="00000800000000000000" pitchFamily="2" charset="-127"/>
                <a:cs typeface="+mn-cs"/>
              </a:defRPr>
            </a:pPr>
            <a:endParaRPr lang="ko-KR"/>
          </a:p>
        </c:txPr>
        <c:crossAx val="728789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894116372815647"/>
          <c:y val="5.6739971113078318E-2"/>
          <c:w val="0.21957520491903429"/>
          <c:h val="0.79609603114523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KoPub돋움체 Bold" panose="00000800000000000000" pitchFamily="2" charset="-127"/>
              <a:ea typeface="KoPub돋움체 Bold" panose="00000800000000000000" pitchFamily="2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KoPub돋움체 Bold" panose="00000800000000000000" pitchFamily="2" charset="-127"/>
          <a:ea typeface="KoPub돋움체 Bold" panose="00000800000000000000" pitchFamily="2" charset="-127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453078270300697E-2"/>
          <c:y val="3.7670409542002507E-2"/>
          <c:w val="0.6856330685002362"/>
          <c:h val="0.82979056981782617"/>
        </c:manualLayout>
      </c:layout>
      <c:scatterChart>
        <c:scatterStyle val="lineMarker"/>
        <c:varyColors val="0"/>
        <c:ser>
          <c:idx val="0"/>
          <c:order val="0"/>
          <c:tx>
            <c:strRef>
              <c:f>EM_total_유기물형광지표!$B$33</c:f>
              <c:strCache>
                <c:ptCount val="1"/>
                <c:pt idx="0">
                  <c:v>Soil-25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C0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EM_total_유기물형광지표!$F$33:$F$54</c:f>
              <c:numCache>
                <c:formatCode>0.00</c:formatCode>
                <c:ptCount val="22"/>
                <c:pt idx="0">
                  <c:v>0.52457611999999998</c:v>
                </c:pt>
                <c:pt idx="1">
                  <c:v>0.81727892000000002</c:v>
                </c:pt>
                <c:pt idx="2">
                  <c:v>0.61353095000000002</c:v>
                </c:pt>
                <c:pt idx="3">
                  <c:v>0.65758879000000003</c:v>
                </c:pt>
                <c:pt idx="4">
                  <c:v>0.58170237000000002</c:v>
                </c:pt>
                <c:pt idx="5">
                  <c:v>0.58404855</c:v>
                </c:pt>
                <c:pt idx="6">
                  <c:v>0.52470391999999999</c:v>
                </c:pt>
                <c:pt idx="7">
                  <c:v>0.54793464000000003</c:v>
                </c:pt>
                <c:pt idx="8">
                  <c:v>0.49994714000000001</c:v>
                </c:pt>
                <c:pt idx="9">
                  <c:v>0.63941674999999998</c:v>
                </c:pt>
                <c:pt idx="10">
                  <c:v>0.52299496999999995</c:v>
                </c:pt>
                <c:pt idx="11">
                  <c:v>0.53973015999999996</c:v>
                </c:pt>
                <c:pt idx="12">
                  <c:v>0.57185202000000002</c:v>
                </c:pt>
                <c:pt idx="13">
                  <c:v>0.59341719999999998</c:v>
                </c:pt>
                <c:pt idx="14">
                  <c:v>1.0334368</c:v>
                </c:pt>
                <c:pt idx="15">
                  <c:v>0.66716489999999995</c:v>
                </c:pt>
                <c:pt idx="16">
                  <c:v>0.48866626000000002</c:v>
                </c:pt>
                <c:pt idx="17">
                  <c:v>0.55226823000000003</c:v>
                </c:pt>
                <c:pt idx="18">
                  <c:v>0.43838036000000002</c:v>
                </c:pt>
                <c:pt idx="19">
                  <c:v>0.50746172000000001</c:v>
                </c:pt>
                <c:pt idx="20">
                  <c:v>0.66397598999999996</c:v>
                </c:pt>
                <c:pt idx="21">
                  <c:v>0.57891486999999997</c:v>
                </c:pt>
              </c:numCache>
            </c:numRef>
          </c:xVal>
          <c:yVal>
            <c:numRef>
              <c:f>EM_total_유기물형광지표!$G$33:$G$54</c:f>
              <c:numCache>
                <c:formatCode>General</c:formatCode>
                <c:ptCount val="22"/>
                <c:pt idx="0" formatCode="0.00">
                  <c:v>1.1389050000000001</c:v>
                </c:pt>
                <c:pt idx="2" formatCode="0.00">
                  <c:v>1.1658522</c:v>
                </c:pt>
                <c:pt idx="3" formatCode="0.00">
                  <c:v>1.2896307</c:v>
                </c:pt>
                <c:pt idx="4" formatCode="0.00">
                  <c:v>1.2419627</c:v>
                </c:pt>
                <c:pt idx="5" formatCode="0.00">
                  <c:v>1.2383124999999999</c:v>
                </c:pt>
                <c:pt idx="6" formatCode="0.00">
                  <c:v>1.1680168</c:v>
                </c:pt>
                <c:pt idx="7" formatCode="0.00">
                  <c:v>1.2595050000000001</c:v>
                </c:pt>
                <c:pt idx="8" formatCode="0.00">
                  <c:v>1.1141143</c:v>
                </c:pt>
                <c:pt idx="9" formatCode="0.00">
                  <c:v>1.2906054</c:v>
                </c:pt>
                <c:pt idx="10" formatCode="0.00">
                  <c:v>1.1679872</c:v>
                </c:pt>
                <c:pt idx="11" formatCode="0.00">
                  <c:v>1.2110197</c:v>
                </c:pt>
                <c:pt idx="12" formatCode="0.00">
                  <c:v>1.1939017999999999</c:v>
                </c:pt>
                <c:pt idx="13" formatCode="0.00">
                  <c:v>1.2703684</c:v>
                </c:pt>
                <c:pt idx="15" formatCode="0.00">
                  <c:v>1.3474322000000001</c:v>
                </c:pt>
                <c:pt idx="16" formatCode="0.00">
                  <c:v>1.1404590999999999</c:v>
                </c:pt>
                <c:pt idx="17" formatCode="0.00">
                  <c:v>1.2074729</c:v>
                </c:pt>
                <c:pt idx="18" formatCode="0.00">
                  <c:v>1.1205012999999999</c:v>
                </c:pt>
                <c:pt idx="19" formatCode="0.00">
                  <c:v>1.1938092</c:v>
                </c:pt>
                <c:pt idx="20" formatCode="0.00">
                  <c:v>1.3825225999999999</c:v>
                </c:pt>
                <c:pt idx="21" formatCode="0.00">
                  <c:v>1.2055952999999999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5B-4B61-8198-0F447AF113C7}"/>
            </c:ext>
          </c:extLst>
        </c:ser>
        <c:ser>
          <c:idx val="1"/>
          <c:order val="1"/>
          <c:tx>
            <c:strRef>
              <c:f>EM_total_유기물형광지표!$B$55</c:f>
              <c:strCache>
                <c:ptCount val="1"/>
                <c:pt idx="0">
                  <c:v>Soil-24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rgbClr val="C0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EM_total_유기물형광지표!$F$55:$F$73</c:f>
              <c:numCache>
                <c:formatCode>0.00</c:formatCode>
                <c:ptCount val="19"/>
                <c:pt idx="0">
                  <c:v>0.67759767999999998</c:v>
                </c:pt>
                <c:pt idx="1">
                  <c:v>0.54516673999999998</c:v>
                </c:pt>
                <c:pt idx="2">
                  <c:v>0.64617754999999999</c:v>
                </c:pt>
                <c:pt idx="3">
                  <c:v>0.53042626999999998</c:v>
                </c:pt>
                <c:pt idx="4">
                  <c:v>0.62658780999999997</c:v>
                </c:pt>
                <c:pt idx="5">
                  <c:v>0.66664743000000004</c:v>
                </c:pt>
                <c:pt idx="6">
                  <c:v>0.57963251000000005</c:v>
                </c:pt>
                <c:pt idx="7">
                  <c:v>0.62148999000000005</c:v>
                </c:pt>
                <c:pt idx="8">
                  <c:v>0.73918561999999999</c:v>
                </c:pt>
                <c:pt idx="9">
                  <c:v>0.67806681999999996</c:v>
                </c:pt>
                <c:pt idx="10">
                  <c:v>0.64439422000000002</c:v>
                </c:pt>
                <c:pt idx="11">
                  <c:v>0.58166293999999996</c:v>
                </c:pt>
                <c:pt idx="12">
                  <c:v>0.80445290000000003</c:v>
                </c:pt>
                <c:pt idx="13">
                  <c:v>0.66997894999999996</c:v>
                </c:pt>
                <c:pt idx="14">
                  <c:v>0.4070453</c:v>
                </c:pt>
                <c:pt idx="15">
                  <c:v>0.47329740999999997</c:v>
                </c:pt>
                <c:pt idx="16">
                  <c:v>0.41013918999999999</c:v>
                </c:pt>
                <c:pt idx="17">
                  <c:v>0.44111872000000002</c:v>
                </c:pt>
                <c:pt idx="18">
                  <c:v>0.60338687000000002</c:v>
                </c:pt>
              </c:numCache>
            </c:numRef>
          </c:xVal>
          <c:yVal>
            <c:numRef>
              <c:f>EM_total_유기물형광지표!$G$55:$G$73</c:f>
              <c:numCache>
                <c:formatCode>0.00</c:formatCode>
                <c:ptCount val="19"/>
                <c:pt idx="0">
                  <c:v>1.3672419</c:v>
                </c:pt>
                <c:pt idx="1">
                  <c:v>1.2168981999999999</c:v>
                </c:pt>
                <c:pt idx="2">
                  <c:v>1.2991196</c:v>
                </c:pt>
                <c:pt idx="3">
                  <c:v>1.2029145999999999</c:v>
                </c:pt>
                <c:pt idx="4">
                  <c:v>1.2702434</c:v>
                </c:pt>
                <c:pt idx="5">
                  <c:v>1.3213185000000001</c:v>
                </c:pt>
                <c:pt idx="6">
                  <c:v>1.2683205</c:v>
                </c:pt>
                <c:pt idx="7">
                  <c:v>1.2475295</c:v>
                </c:pt>
                <c:pt idx="9">
                  <c:v>1.3522186</c:v>
                </c:pt>
                <c:pt idx="10">
                  <c:v>1.3306944000000001</c:v>
                </c:pt>
                <c:pt idx="11">
                  <c:v>1.2001599000000001</c:v>
                </c:pt>
                <c:pt idx="13">
                  <c:v>1.3106876000000001</c:v>
                </c:pt>
                <c:pt idx="18">
                  <c:v>1.2379784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B5B-4B61-8198-0F447AF113C7}"/>
            </c:ext>
          </c:extLst>
        </c:ser>
        <c:ser>
          <c:idx val="4"/>
          <c:order val="2"/>
          <c:tx>
            <c:strRef>
              <c:f>EM_total_유기물형광지표!$B$93</c:f>
              <c:strCache>
                <c:ptCount val="1"/>
                <c:pt idx="0">
                  <c:v>Sewage-25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0070C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EM_total_유기물형광지표!$F$93:$F$96</c:f>
              <c:numCache>
                <c:formatCode>0.00</c:formatCode>
                <c:ptCount val="4"/>
                <c:pt idx="0">
                  <c:v>1.2001085</c:v>
                </c:pt>
                <c:pt idx="1">
                  <c:v>1.213748</c:v>
                </c:pt>
                <c:pt idx="2">
                  <c:v>1.3605714</c:v>
                </c:pt>
                <c:pt idx="3">
                  <c:v>1.213748</c:v>
                </c:pt>
              </c:numCache>
            </c:numRef>
          </c:xVal>
          <c:yVal>
            <c:numRef>
              <c:f>EM_total_유기물형광지표!$G$93:$G$96</c:f>
              <c:numCache>
                <c:formatCode>0.00</c:formatCode>
                <c:ptCount val="4"/>
                <c:pt idx="0">
                  <c:v>1.6363198999999999</c:v>
                </c:pt>
                <c:pt idx="1">
                  <c:v>1.586244</c:v>
                </c:pt>
                <c:pt idx="2">
                  <c:v>1.5625167</c:v>
                </c:pt>
                <c:pt idx="3">
                  <c:v>1.586244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B5B-4B61-8198-0F447AF113C7}"/>
            </c:ext>
          </c:extLst>
        </c:ser>
        <c:ser>
          <c:idx val="5"/>
          <c:order val="3"/>
          <c:tx>
            <c:strRef>
              <c:f>EM_total_유기물형광지표!$B$97</c:f>
              <c:strCache>
                <c:ptCount val="1"/>
                <c:pt idx="0">
                  <c:v>Sewage-24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rgbClr val="0070C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EM_total_유기물형광지표!$F$97:$F$115</c:f>
              <c:numCache>
                <c:formatCode>0.00</c:formatCode>
                <c:ptCount val="19"/>
                <c:pt idx="0">
                  <c:v>1.0878205000000001</c:v>
                </c:pt>
                <c:pt idx="1">
                  <c:v>1.0619810000000001</c:v>
                </c:pt>
                <c:pt idx="2">
                  <c:v>1.1160378</c:v>
                </c:pt>
                <c:pt idx="3">
                  <c:v>1.2237909</c:v>
                </c:pt>
                <c:pt idx="4">
                  <c:v>1.1088718</c:v>
                </c:pt>
                <c:pt idx="5">
                  <c:v>1.018926</c:v>
                </c:pt>
                <c:pt idx="6">
                  <c:v>1.0299684</c:v>
                </c:pt>
                <c:pt idx="7">
                  <c:v>1.0100643</c:v>
                </c:pt>
                <c:pt idx="8">
                  <c:v>1.0534678</c:v>
                </c:pt>
                <c:pt idx="9">
                  <c:v>1.0926715</c:v>
                </c:pt>
                <c:pt idx="10">
                  <c:v>0.92182122</c:v>
                </c:pt>
                <c:pt idx="11" formatCode="0.00_ ">
                  <c:v>1.4081307000000001</c:v>
                </c:pt>
                <c:pt idx="12" formatCode="0.00_ ">
                  <c:v>1.5254558</c:v>
                </c:pt>
                <c:pt idx="13" formatCode="0.00_ ">
                  <c:v>1.120441</c:v>
                </c:pt>
                <c:pt idx="14" formatCode="0.00_ ">
                  <c:v>1.2820104999999999</c:v>
                </c:pt>
                <c:pt idx="15" formatCode="0.00_ ">
                  <c:v>1.3164754000000001</c:v>
                </c:pt>
                <c:pt idx="16" formatCode="0.00_ ">
                  <c:v>1.3179102</c:v>
                </c:pt>
                <c:pt idx="17" formatCode="0.00_ ">
                  <c:v>1.2843937000000001</c:v>
                </c:pt>
                <c:pt idx="18" formatCode="0.00_ ">
                  <c:v>1.0758078</c:v>
                </c:pt>
              </c:numCache>
            </c:numRef>
          </c:xVal>
          <c:yVal>
            <c:numRef>
              <c:f>EM_total_유기물형광지표!$G$97:$G$115</c:f>
              <c:numCache>
                <c:formatCode>0.00</c:formatCode>
                <c:ptCount val="19"/>
                <c:pt idx="0">
                  <c:v>1.5689841</c:v>
                </c:pt>
                <c:pt idx="1">
                  <c:v>1.4963291999999999</c:v>
                </c:pt>
                <c:pt idx="2">
                  <c:v>1.5028785</c:v>
                </c:pt>
                <c:pt idx="3">
                  <c:v>1.5051988999999999</c:v>
                </c:pt>
                <c:pt idx="4">
                  <c:v>1.5697958000000001</c:v>
                </c:pt>
                <c:pt idx="5">
                  <c:v>1.5482205</c:v>
                </c:pt>
                <c:pt idx="6">
                  <c:v>1.5199166</c:v>
                </c:pt>
                <c:pt idx="7">
                  <c:v>1.4914305000000001</c:v>
                </c:pt>
                <c:pt idx="8">
                  <c:v>1.5458483999999999</c:v>
                </c:pt>
                <c:pt idx="9">
                  <c:v>1.5037609999999999</c:v>
                </c:pt>
                <c:pt idx="11" formatCode="0.00_ ">
                  <c:v>1.6120125999999999</c:v>
                </c:pt>
                <c:pt idx="13" formatCode="0.00_ ">
                  <c:v>1.6853969</c:v>
                </c:pt>
                <c:pt idx="14" formatCode="0.00_ ">
                  <c:v>1.5806909</c:v>
                </c:pt>
                <c:pt idx="15" formatCode="0.00_ ">
                  <c:v>1.5301155</c:v>
                </c:pt>
                <c:pt idx="16" formatCode="0.00_ ">
                  <c:v>1.5418554</c:v>
                </c:pt>
                <c:pt idx="17" formatCode="0.00_ ">
                  <c:v>1.5859576</c:v>
                </c:pt>
                <c:pt idx="18" formatCode="0.00_ ">
                  <c:v>1.5560365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B5B-4B61-8198-0F447AF113C7}"/>
            </c:ext>
          </c:extLst>
        </c:ser>
        <c:ser>
          <c:idx val="6"/>
          <c:order val="4"/>
          <c:tx>
            <c:strRef>
              <c:f>EM_total_유기물형광지표!$B$116</c:f>
              <c:strCache>
                <c:ptCount val="1"/>
                <c:pt idx="0">
                  <c:v>Groundwater-25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00B0F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EM_total_유기물형광지표!$F$116:$F$118</c:f>
              <c:numCache>
                <c:formatCode>0.00</c:formatCode>
                <c:ptCount val="3"/>
                <c:pt idx="0">
                  <c:v>1.1705015000000001</c:v>
                </c:pt>
                <c:pt idx="1">
                  <c:v>1.1685551999999999</c:v>
                </c:pt>
                <c:pt idx="2">
                  <c:v>0.89512652000000004</c:v>
                </c:pt>
              </c:numCache>
            </c:numRef>
          </c:xVal>
          <c:yVal>
            <c:numRef>
              <c:f>EM_total_유기물형광지표!$G$116:$G$118</c:f>
              <c:numCache>
                <c:formatCode>0.00</c:formatCode>
                <c:ptCount val="3"/>
                <c:pt idx="0">
                  <c:v>2.2023035000000002</c:v>
                </c:pt>
                <c:pt idx="1">
                  <c:v>2.2803138000000001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B5B-4B61-8198-0F447AF113C7}"/>
            </c:ext>
          </c:extLst>
        </c:ser>
        <c:ser>
          <c:idx val="8"/>
          <c:order val="5"/>
          <c:tx>
            <c:strRef>
              <c:f>EM_total_유기물형광지표!$B$2</c:f>
              <c:strCache>
                <c:ptCount val="1"/>
                <c:pt idx="0">
                  <c:v>Leaves-25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7030A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EM_total_유기물형광지표!$F$2:$F$3</c:f>
              <c:numCache>
                <c:formatCode>0.00_ </c:formatCode>
                <c:ptCount val="2"/>
                <c:pt idx="0">
                  <c:v>5.6856187000000002E-2</c:v>
                </c:pt>
                <c:pt idx="1">
                  <c:v>5.0903120000000003E-2</c:v>
                </c:pt>
              </c:numCache>
            </c:numRef>
          </c:xVal>
          <c:yVal>
            <c:numRef>
              <c:f>EM_total_유기물형광지표!$G$2:$G$3</c:f>
              <c:numCache>
                <c:formatCode>0.00_ </c:formatCode>
                <c:ptCount val="2"/>
                <c:pt idx="0">
                  <c:v>0.41214858999999998</c:v>
                </c:pt>
                <c:pt idx="1">
                  <c:v>0.65042889999999998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B5B-4B61-8198-0F447AF113C7}"/>
            </c:ext>
          </c:extLst>
        </c:ser>
        <c:ser>
          <c:idx val="9"/>
          <c:order val="6"/>
          <c:tx>
            <c:strRef>
              <c:f>EM_total_유기물형광지표!$B$5</c:f>
              <c:strCache>
                <c:ptCount val="1"/>
                <c:pt idx="0">
                  <c:v>Leaves-24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rgbClr val="7030A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EM_total_유기물형광지표!$F$5:$F$7</c:f>
              <c:numCache>
                <c:formatCode>0.00_ </c:formatCode>
                <c:ptCount val="3"/>
                <c:pt idx="0">
                  <c:v>7.1345029000000004E-2</c:v>
                </c:pt>
                <c:pt idx="1">
                  <c:v>0.19117646999999999</c:v>
                </c:pt>
                <c:pt idx="2">
                  <c:v>9.1056911000000004E-2</c:v>
                </c:pt>
              </c:numCache>
            </c:numRef>
          </c:xVal>
          <c:yVal>
            <c:numRef>
              <c:f>EM_total_유기물형광지표!$G$5:$G$7</c:f>
              <c:numCache>
                <c:formatCode>0.00_ </c:formatCode>
                <c:ptCount val="3"/>
                <c:pt idx="0">
                  <c:v>0.54322497000000003</c:v>
                </c:pt>
                <c:pt idx="1">
                  <c:v>0.33122484000000002</c:v>
                </c:pt>
                <c:pt idx="2">
                  <c:v>0.49982269000000001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B5B-4B61-8198-0F447AF113C7}"/>
            </c:ext>
          </c:extLst>
        </c:ser>
        <c:ser>
          <c:idx val="10"/>
          <c:order val="7"/>
          <c:tx>
            <c:strRef>
              <c:f>EM_total_유기물형광지표!$B$8</c:f>
              <c:strCache>
                <c:ptCount val="1"/>
                <c:pt idx="0">
                  <c:v>Plants-25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00B05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EM_total_유기물형광지표!$F$8</c:f>
              <c:numCache>
                <c:formatCode>0.00_ </c:formatCode>
                <c:ptCount val="1"/>
                <c:pt idx="0">
                  <c:v>9.8453283000000003E-2</c:v>
                </c:pt>
              </c:numCache>
            </c:numRef>
          </c:xVal>
          <c:yVal>
            <c:numRef>
              <c:f>EM_total_유기물형광지표!$G$8</c:f>
              <c:numCache>
                <c:formatCode>0.00_ </c:formatCode>
                <c:ptCount val="1"/>
                <c:pt idx="0">
                  <c:v>1.2069160000000001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B5B-4B61-8198-0F447AF113C7}"/>
            </c:ext>
          </c:extLst>
        </c:ser>
        <c:ser>
          <c:idx val="11"/>
          <c:order val="8"/>
          <c:tx>
            <c:strRef>
              <c:f>EM_total_유기물형광지표!$B$9</c:f>
              <c:strCache>
                <c:ptCount val="1"/>
                <c:pt idx="0">
                  <c:v>Plants-24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rgbClr val="00B05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EM_total_유기물형광지표!$F$9:$F$12</c:f>
              <c:numCache>
                <c:formatCode>0.00_ </c:formatCode>
                <c:ptCount val="4"/>
                <c:pt idx="0">
                  <c:v>2.4608501000000001E-2</c:v>
                </c:pt>
                <c:pt idx="1">
                  <c:v>9.6138514999999994E-2</c:v>
                </c:pt>
                <c:pt idx="2">
                  <c:v>4.3949305000000001E-2</c:v>
                </c:pt>
                <c:pt idx="3">
                  <c:v>8.4940796999999998E-2</c:v>
                </c:pt>
              </c:numCache>
            </c:numRef>
          </c:xVal>
          <c:yVal>
            <c:numRef>
              <c:f>EM_total_유기물형광지표!$G$9:$G$12</c:f>
              <c:numCache>
                <c:formatCode>0.00_ </c:formatCode>
                <c:ptCount val="4"/>
                <c:pt idx="0">
                  <c:v>1.2474521999999999</c:v>
                </c:pt>
                <c:pt idx="1">
                  <c:v>1.2979887999999999</c:v>
                </c:pt>
                <c:pt idx="2">
                  <c:v>1.2137967000000001</c:v>
                </c:pt>
                <c:pt idx="3">
                  <c:v>1.3070550000000001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B5B-4B61-8198-0F447AF113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8789552"/>
        <c:axId val="728790992"/>
      </c:scatterChart>
      <c:valAx>
        <c:axId val="728789552"/>
        <c:scaling>
          <c:orientation val="minMax"/>
          <c:max val="1.6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KoPub돋움체 Bold" panose="00000800000000000000" pitchFamily="2" charset="-127"/>
                    <a:ea typeface="KoPub돋움체 Bold" panose="00000800000000000000" pitchFamily="2" charset="-127"/>
                    <a:cs typeface="+mn-cs"/>
                  </a:defRPr>
                </a:pPr>
                <a:r>
                  <a:rPr lang="en-US" altLang="ko-KR"/>
                  <a:t>BIX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0.42799263487441486"/>
              <c:y val="0.932056329497274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KoPub돋움체 Bold" panose="00000800000000000000" pitchFamily="2" charset="-127"/>
                  <a:ea typeface="KoPub돋움체 Bold" panose="00000800000000000000" pitchFamily="2" charset="-127"/>
                  <a:cs typeface="+mn-cs"/>
                </a:defRPr>
              </a:pPr>
              <a:endParaRPr lang="ko-KR"/>
            </a:p>
          </c:txPr>
        </c:title>
        <c:numFmt formatCode="0.00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KoPub돋움체 Bold" panose="00000800000000000000" pitchFamily="2" charset="-127"/>
                <a:ea typeface="KoPub돋움체 Bold" panose="00000800000000000000" pitchFamily="2" charset="-127"/>
                <a:cs typeface="+mn-cs"/>
              </a:defRPr>
            </a:pPr>
            <a:endParaRPr lang="ko-KR"/>
          </a:p>
        </c:txPr>
        <c:crossAx val="728790992"/>
        <c:crosses val="autoZero"/>
        <c:crossBetween val="midCat"/>
        <c:majorUnit val="0.2"/>
      </c:valAx>
      <c:valAx>
        <c:axId val="728790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KoPub돋움체 Bold" panose="00000800000000000000" pitchFamily="2" charset="-127"/>
                    <a:ea typeface="KoPub돋움체 Bold" panose="00000800000000000000" pitchFamily="2" charset="-127"/>
                    <a:cs typeface="+mn-cs"/>
                  </a:defRPr>
                </a:pPr>
                <a:r>
                  <a:rPr lang="en-US" altLang="ko-KR"/>
                  <a:t>FI</a:t>
                </a:r>
                <a:endParaRPr lang="ko-KR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KoPub돋움체 Bold" panose="00000800000000000000" pitchFamily="2" charset="-127"/>
                  <a:ea typeface="KoPub돋움체 Bold" panose="00000800000000000000" pitchFamily="2" charset="-127"/>
                  <a:cs typeface="+mn-cs"/>
                </a:defRPr>
              </a:pPr>
              <a:endParaRPr lang="ko-K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KoPub돋움체 Bold" panose="00000800000000000000" pitchFamily="2" charset="-127"/>
                <a:ea typeface="KoPub돋움체 Bold" panose="00000800000000000000" pitchFamily="2" charset="-127"/>
                <a:cs typeface="+mn-cs"/>
              </a:defRPr>
            </a:pPr>
            <a:endParaRPr lang="ko-KR"/>
          </a:p>
        </c:txPr>
        <c:crossAx val="728789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894116372815647"/>
          <c:y val="5.6739971113078318E-2"/>
          <c:w val="0.21957520491903429"/>
          <c:h val="0.79609603114523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KoPub돋움체 Bold" panose="00000800000000000000" pitchFamily="2" charset="-127"/>
              <a:ea typeface="KoPub돋움체 Bold" panose="00000800000000000000" pitchFamily="2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KoPub돋움체 Bold" panose="00000800000000000000" pitchFamily="2" charset="-127"/>
          <a:ea typeface="KoPub돋움체 Bold" panose="00000800000000000000" pitchFamily="2" charset="-127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453078270300697E-2"/>
          <c:y val="3.7670409542002507E-2"/>
          <c:w val="0.6856330685002362"/>
          <c:h val="0.82979056981782617"/>
        </c:manualLayout>
      </c:layout>
      <c:scatterChart>
        <c:scatterStyle val="lineMarker"/>
        <c:varyColors val="0"/>
        <c:ser>
          <c:idx val="0"/>
          <c:order val="0"/>
          <c:tx>
            <c:strRef>
              <c:f>EM_total_유기물형광지표!$B$33</c:f>
              <c:strCache>
                <c:ptCount val="1"/>
                <c:pt idx="0">
                  <c:v>Soil-25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C0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EM_total_유기물형광지표!$E$33:$E$54</c:f>
              <c:numCache>
                <c:formatCode>0.00</c:formatCode>
                <c:ptCount val="22"/>
                <c:pt idx="0">
                  <c:v>5.6331854999999997</c:v>
                </c:pt>
                <c:pt idx="1">
                  <c:v>1.6164504</c:v>
                </c:pt>
                <c:pt idx="2">
                  <c:v>12.970205</c:v>
                </c:pt>
                <c:pt idx="3">
                  <c:v>10.176845999999999</c:v>
                </c:pt>
                <c:pt idx="4">
                  <c:v>4.8600218000000002</c:v>
                </c:pt>
                <c:pt idx="5">
                  <c:v>14.068768</c:v>
                </c:pt>
                <c:pt idx="6">
                  <c:v>8.6286001999999993</c:v>
                </c:pt>
                <c:pt idx="7">
                  <c:v>11.978322</c:v>
                </c:pt>
                <c:pt idx="8">
                  <c:v>8.9892093000000006</c:v>
                </c:pt>
                <c:pt idx="9">
                  <c:v>5.4262975000000004</c:v>
                </c:pt>
                <c:pt idx="10">
                  <c:v>6.9184364</c:v>
                </c:pt>
                <c:pt idx="11">
                  <c:v>4.8623301000000003</c:v>
                </c:pt>
                <c:pt idx="12">
                  <c:v>6.2907875000000004</c:v>
                </c:pt>
                <c:pt idx="13">
                  <c:v>3.0154659000000001</c:v>
                </c:pt>
                <c:pt idx="14">
                  <c:v>1.1038642999999999</c:v>
                </c:pt>
                <c:pt idx="15">
                  <c:v>2.9362929000000002</c:v>
                </c:pt>
                <c:pt idx="16">
                  <c:v>4.6613832000000004</c:v>
                </c:pt>
                <c:pt idx="17">
                  <c:v>11.536314000000001</c:v>
                </c:pt>
                <c:pt idx="18">
                  <c:v>3.6365299000000002</c:v>
                </c:pt>
                <c:pt idx="19">
                  <c:v>14.028375</c:v>
                </c:pt>
                <c:pt idx="20">
                  <c:v>8.9602477</c:v>
                </c:pt>
                <c:pt idx="21">
                  <c:v>7.1394872999999999</c:v>
                </c:pt>
              </c:numCache>
            </c:numRef>
          </c:xVal>
          <c:yVal>
            <c:numRef>
              <c:f>EM_total_유기물형광지표!$G$33:$G$54</c:f>
              <c:numCache>
                <c:formatCode>General</c:formatCode>
                <c:ptCount val="22"/>
                <c:pt idx="0" formatCode="0.00">
                  <c:v>1.1389050000000001</c:v>
                </c:pt>
                <c:pt idx="2" formatCode="0.00">
                  <c:v>1.1658522</c:v>
                </c:pt>
                <c:pt idx="3" formatCode="0.00">
                  <c:v>1.2896307</c:v>
                </c:pt>
                <c:pt idx="4" formatCode="0.00">
                  <c:v>1.2419627</c:v>
                </c:pt>
                <c:pt idx="5" formatCode="0.00">
                  <c:v>1.2383124999999999</c:v>
                </c:pt>
                <c:pt idx="6" formatCode="0.00">
                  <c:v>1.1680168</c:v>
                </c:pt>
                <c:pt idx="7" formatCode="0.00">
                  <c:v>1.2595050000000001</c:v>
                </c:pt>
                <c:pt idx="8" formatCode="0.00">
                  <c:v>1.1141143</c:v>
                </c:pt>
                <c:pt idx="9" formatCode="0.00">
                  <c:v>1.2906054</c:v>
                </c:pt>
                <c:pt idx="10" formatCode="0.00">
                  <c:v>1.1679872</c:v>
                </c:pt>
                <c:pt idx="11" formatCode="0.00">
                  <c:v>1.2110197</c:v>
                </c:pt>
                <c:pt idx="12" formatCode="0.00">
                  <c:v>1.1939017999999999</c:v>
                </c:pt>
                <c:pt idx="13" formatCode="0.00">
                  <c:v>1.2703684</c:v>
                </c:pt>
                <c:pt idx="15" formatCode="0.00">
                  <c:v>1.3474322000000001</c:v>
                </c:pt>
                <c:pt idx="16" formatCode="0.00">
                  <c:v>1.1404590999999999</c:v>
                </c:pt>
                <c:pt idx="17" formatCode="0.00">
                  <c:v>1.2074729</c:v>
                </c:pt>
                <c:pt idx="18" formatCode="0.00">
                  <c:v>1.1205012999999999</c:v>
                </c:pt>
                <c:pt idx="19" formatCode="0.00">
                  <c:v>1.1938092</c:v>
                </c:pt>
                <c:pt idx="20" formatCode="0.00">
                  <c:v>1.3825225999999999</c:v>
                </c:pt>
                <c:pt idx="21" formatCode="0.00">
                  <c:v>1.2055952999999999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25-4239-868B-E0572FBD4E15}"/>
            </c:ext>
          </c:extLst>
        </c:ser>
        <c:ser>
          <c:idx val="1"/>
          <c:order val="1"/>
          <c:tx>
            <c:strRef>
              <c:f>EM_total_유기물형광지표!$B$55</c:f>
              <c:strCache>
                <c:ptCount val="1"/>
                <c:pt idx="0">
                  <c:v>Soil-24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rgbClr val="C0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EM_total_유기물형광지표!$E$55:$E$73</c:f>
              <c:numCache>
                <c:formatCode>0.00</c:formatCode>
                <c:ptCount val="19"/>
                <c:pt idx="0">
                  <c:v>4.2631950999999999</c:v>
                </c:pt>
                <c:pt idx="1">
                  <c:v>19.799914000000001</c:v>
                </c:pt>
                <c:pt idx="2">
                  <c:v>17.713673</c:v>
                </c:pt>
                <c:pt idx="3">
                  <c:v>11.703141</c:v>
                </c:pt>
                <c:pt idx="4">
                  <c:v>10.660031</c:v>
                </c:pt>
                <c:pt idx="5">
                  <c:v>4.0775791000000003</c:v>
                </c:pt>
                <c:pt idx="6">
                  <c:v>6.3679626000000003</c:v>
                </c:pt>
                <c:pt idx="7">
                  <c:v>6.5884904999999998</c:v>
                </c:pt>
                <c:pt idx="8">
                  <c:v>4.5313696999999999</c:v>
                </c:pt>
                <c:pt idx="9">
                  <c:v>4.3217663000000002</c:v>
                </c:pt>
                <c:pt idx="10">
                  <c:v>10.644598</c:v>
                </c:pt>
                <c:pt idx="11">
                  <c:v>4.7711347000000002</c:v>
                </c:pt>
                <c:pt idx="12">
                  <c:v>3.0175786000000002</c:v>
                </c:pt>
                <c:pt idx="13">
                  <c:v>5.5132121999999999</c:v>
                </c:pt>
                <c:pt idx="14">
                  <c:v>17.553982000000001</c:v>
                </c:pt>
                <c:pt idx="15">
                  <c:v>13.358699</c:v>
                </c:pt>
                <c:pt idx="16">
                  <c:v>22.721160000000001</c:v>
                </c:pt>
                <c:pt idx="17">
                  <c:v>8.3730086000000004</c:v>
                </c:pt>
                <c:pt idx="18">
                  <c:v>14.321686</c:v>
                </c:pt>
              </c:numCache>
            </c:numRef>
          </c:xVal>
          <c:yVal>
            <c:numRef>
              <c:f>EM_total_유기물형광지표!$G$55:$G$73</c:f>
              <c:numCache>
                <c:formatCode>0.00</c:formatCode>
                <c:ptCount val="19"/>
                <c:pt idx="0">
                  <c:v>1.3672419</c:v>
                </c:pt>
                <c:pt idx="1">
                  <c:v>1.2168981999999999</c:v>
                </c:pt>
                <c:pt idx="2">
                  <c:v>1.2991196</c:v>
                </c:pt>
                <c:pt idx="3">
                  <c:v>1.2029145999999999</c:v>
                </c:pt>
                <c:pt idx="4">
                  <c:v>1.2702434</c:v>
                </c:pt>
                <c:pt idx="5">
                  <c:v>1.3213185000000001</c:v>
                </c:pt>
                <c:pt idx="6">
                  <c:v>1.2683205</c:v>
                </c:pt>
                <c:pt idx="7">
                  <c:v>1.2475295</c:v>
                </c:pt>
                <c:pt idx="9">
                  <c:v>1.3522186</c:v>
                </c:pt>
                <c:pt idx="10">
                  <c:v>1.3306944000000001</c:v>
                </c:pt>
                <c:pt idx="11">
                  <c:v>1.2001599000000001</c:v>
                </c:pt>
                <c:pt idx="13">
                  <c:v>1.3106876000000001</c:v>
                </c:pt>
                <c:pt idx="18">
                  <c:v>1.2379784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25-4239-868B-E0572FBD4E15}"/>
            </c:ext>
          </c:extLst>
        </c:ser>
        <c:ser>
          <c:idx val="2"/>
          <c:order val="2"/>
          <c:tx>
            <c:strRef>
              <c:f>EM_total_유기물형광지표!$B$75</c:f>
              <c:strCache>
                <c:ptCount val="1"/>
                <c:pt idx="0">
                  <c:v>Effluent-25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4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EM_total_유기물형광지표!$E$75:$E$87</c:f>
              <c:numCache>
                <c:formatCode>0.00</c:formatCode>
                <c:ptCount val="13"/>
                <c:pt idx="0">
                  <c:v>5.8049603000000003</c:v>
                </c:pt>
                <c:pt idx="1">
                  <c:v>5.8095334000000003</c:v>
                </c:pt>
                <c:pt idx="2">
                  <c:v>3.0508603999999999</c:v>
                </c:pt>
                <c:pt idx="3">
                  <c:v>7.8475326000000001</c:v>
                </c:pt>
                <c:pt idx="4">
                  <c:v>7.4526794000000001</c:v>
                </c:pt>
                <c:pt idx="5">
                  <c:v>3.3785371</c:v>
                </c:pt>
                <c:pt idx="6">
                  <c:v>7.3920374000000004</c:v>
                </c:pt>
                <c:pt idx="7">
                  <c:v>6.6976361000000004</c:v>
                </c:pt>
                <c:pt idx="8">
                  <c:v>8.4458792000000003</c:v>
                </c:pt>
                <c:pt idx="9">
                  <c:v>8.5724362999999997</c:v>
                </c:pt>
                <c:pt idx="10">
                  <c:v>7.1005704999999999</c:v>
                </c:pt>
                <c:pt idx="11">
                  <c:v>3.0762078000000002</c:v>
                </c:pt>
                <c:pt idx="12">
                  <c:v>8.5688948000000007</c:v>
                </c:pt>
              </c:numCache>
            </c:numRef>
          </c:xVal>
          <c:yVal>
            <c:numRef>
              <c:f>EM_total_유기물형광지표!$G$75:$G$87</c:f>
              <c:numCache>
                <c:formatCode>0.00</c:formatCode>
                <c:ptCount val="13"/>
                <c:pt idx="0">
                  <c:v>1.2337575999999999</c:v>
                </c:pt>
                <c:pt idx="1">
                  <c:v>1.2931969000000001</c:v>
                </c:pt>
                <c:pt idx="3">
                  <c:v>1.3409952000000001</c:v>
                </c:pt>
                <c:pt idx="4">
                  <c:v>1.2573721</c:v>
                </c:pt>
                <c:pt idx="5">
                  <c:v>1.4216845</c:v>
                </c:pt>
                <c:pt idx="6">
                  <c:v>1.3606240000000001</c:v>
                </c:pt>
                <c:pt idx="7">
                  <c:v>1.3601688999999999</c:v>
                </c:pt>
                <c:pt idx="8">
                  <c:v>1.3424472999999999</c:v>
                </c:pt>
                <c:pt idx="9">
                  <c:v>1.3210763000000001</c:v>
                </c:pt>
                <c:pt idx="10">
                  <c:v>1.3099749999999999</c:v>
                </c:pt>
                <c:pt idx="11">
                  <c:v>1.3676060000000001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425-4239-868B-E0572FBD4E15}"/>
            </c:ext>
          </c:extLst>
        </c:ser>
        <c:ser>
          <c:idx val="3"/>
          <c:order val="3"/>
          <c:tx>
            <c:strRef>
              <c:f>EM_total_유기물형광지표!$B$88</c:f>
              <c:strCache>
                <c:ptCount val="1"/>
                <c:pt idx="0">
                  <c:v>Effluent-24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chemeClr val="accent4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EM_total_유기물형광지표!$E$88:$E$92</c:f>
              <c:numCache>
                <c:formatCode>0.00</c:formatCode>
                <c:ptCount val="5"/>
                <c:pt idx="0">
                  <c:v>4.6149015999999996</c:v>
                </c:pt>
                <c:pt idx="1">
                  <c:v>10.991274000000001</c:v>
                </c:pt>
                <c:pt idx="2">
                  <c:v>4.53</c:v>
                </c:pt>
                <c:pt idx="3">
                  <c:v>5.0716185999999999</c:v>
                </c:pt>
                <c:pt idx="4">
                  <c:v>5.1669020000000003</c:v>
                </c:pt>
              </c:numCache>
            </c:numRef>
          </c:xVal>
          <c:yVal>
            <c:numRef>
              <c:f>EM_total_유기물형광지표!$G$88:$G$92</c:f>
              <c:numCache>
                <c:formatCode>0.00</c:formatCode>
                <c:ptCount val="5"/>
                <c:pt idx="0">
                  <c:v>1.3419743</c:v>
                </c:pt>
                <c:pt idx="1">
                  <c:v>1.3507718</c:v>
                </c:pt>
                <c:pt idx="2">
                  <c:v>1.33</c:v>
                </c:pt>
                <c:pt idx="3">
                  <c:v>1.2784743999999999</c:v>
                </c:pt>
                <c:pt idx="4">
                  <c:v>1.2976907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425-4239-868B-E0572FBD4E15}"/>
            </c:ext>
          </c:extLst>
        </c:ser>
        <c:ser>
          <c:idx val="4"/>
          <c:order val="4"/>
          <c:tx>
            <c:strRef>
              <c:f>EM_total_유기물형광지표!$B$93</c:f>
              <c:strCache>
                <c:ptCount val="1"/>
                <c:pt idx="0">
                  <c:v>Sewage-25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0070C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EM_total_유기물형광지표!$E$93:$E$96</c:f>
              <c:numCache>
                <c:formatCode>0.00</c:formatCode>
                <c:ptCount val="4"/>
                <c:pt idx="0">
                  <c:v>2.5752028999999999</c:v>
                </c:pt>
                <c:pt idx="1">
                  <c:v>2.7002670000000002</c:v>
                </c:pt>
                <c:pt idx="2">
                  <c:v>1.9352218000000001</c:v>
                </c:pt>
                <c:pt idx="3">
                  <c:v>2.7002670000000002</c:v>
                </c:pt>
              </c:numCache>
            </c:numRef>
          </c:xVal>
          <c:yVal>
            <c:numRef>
              <c:f>EM_total_유기물형광지표!$G$93:$G$96</c:f>
              <c:numCache>
                <c:formatCode>0.00</c:formatCode>
                <c:ptCount val="4"/>
                <c:pt idx="0">
                  <c:v>1.6363198999999999</c:v>
                </c:pt>
                <c:pt idx="1">
                  <c:v>1.586244</c:v>
                </c:pt>
                <c:pt idx="2">
                  <c:v>1.5625167</c:v>
                </c:pt>
                <c:pt idx="3">
                  <c:v>1.586244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425-4239-868B-E0572FBD4E15}"/>
            </c:ext>
          </c:extLst>
        </c:ser>
        <c:ser>
          <c:idx val="5"/>
          <c:order val="5"/>
          <c:tx>
            <c:strRef>
              <c:f>EM_total_유기물형광지표!$B$97</c:f>
              <c:strCache>
                <c:ptCount val="1"/>
                <c:pt idx="0">
                  <c:v>Sewage-24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rgbClr val="0070C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EM_total_유기물형광지표!$E$97:$E$115</c:f>
              <c:numCache>
                <c:formatCode>0.00</c:formatCode>
                <c:ptCount val="19"/>
                <c:pt idx="0">
                  <c:v>3.0694995</c:v>
                </c:pt>
                <c:pt idx="1">
                  <c:v>2.2891900999999999</c:v>
                </c:pt>
                <c:pt idx="2">
                  <c:v>2.6410182999999998</c:v>
                </c:pt>
                <c:pt idx="3">
                  <c:v>2.4270472000000001</c:v>
                </c:pt>
                <c:pt idx="4">
                  <c:v>3.0674687</c:v>
                </c:pt>
                <c:pt idx="5">
                  <c:v>3.6090258</c:v>
                </c:pt>
                <c:pt idx="6">
                  <c:v>3.1068517999999998</c:v>
                </c:pt>
                <c:pt idx="7">
                  <c:v>3.3681662999999999</c:v>
                </c:pt>
                <c:pt idx="8">
                  <c:v>2.8073066999999998</c:v>
                </c:pt>
                <c:pt idx="9">
                  <c:v>3.1103890000000001</c:v>
                </c:pt>
                <c:pt idx="10">
                  <c:v>4.3552216000000001</c:v>
                </c:pt>
                <c:pt idx="11" formatCode="0.00_ ">
                  <c:v>2.5410629999999998</c:v>
                </c:pt>
                <c:pt idx="12" formatCode="0.00_ ">
                  <c:v>2.6623643000000001</c:v>
                </c:pt>
                <c:pt idx="13" formatCode="0.00_ ">
                  <c:v>1.8932445</c:v>
                </c:pt>
                <c:pt idx="14" formatCode="0.00_ ">
                  <c:v>2.8126639999999998</c:v>
                </c:pt>
                <c:pt idx="15" formatCode="0.00_ ">
                  <c:v>3.0038193</c:v>
                </c:pt>
                <c:pt idx="16" formatCode="0.00_ ">
                  <c:v>2.6464896000000002</c:v>
                </c:pt>
                <c:pt idx="17" formatCode="0.00_ ">
                  <c:v>2.6096987</c:v>
                </c:pt>
                <c:pt idx="18" formatCode="0.00_ ">
                  <c:v>4.1554232999999998</c:v>
                </c:pt>
              </c:numCache>
            </c:numRef>
          </c:xVal>
          <c:yVal>
            <c:numRef>
              <c:f>EM_total_유기물형광지표!$G$97:$G$115</c:f>
              <c:numCache>
                <c:formatCode>0.00</c:formatCode>
                <c:ptCount val="19"/>
                <c:pt idx="0">
                  <c:v>1.5689841</c:v>
                </c:pt>
                <c:pt idx="1">
                  <c:v>1.4963291999999999</c:v>
                </c:pt>
                <c:pt idx="2">
                  <c:v>1.5028785</c:v>
                </c:pt>
                <c:pt idx="3">
                  <c:v>1.5051988999999999</c:v>
                </c:pt>
                <c:pt idx="4">
                  <c:v>1.5697958000000001</c:v>
                </c:pt>
                <c:pt idx="5">
                  <c:v>1.5482205</c:v>
                </c:pt>
                <c:pt idx="6">
                  <c:v>1.5199166</c:v>
                </c:pt>
                <c:pt idx="7">
                  <c:v>1.4914305000000001</c:v>
                </c:pt>
                <c:pt idx="8">
                  <c:v>1.5458483999999999</c:v>
                </c:pt>
                <c:pt idx="9">
                  <c:v>1.5037609999999999</c:v>
                </c:pt>
                <c:pt idx="11" formatCode="0.00_ ">
                  <c:v>1.6120125999999999</c:v>
                </c:pt>
                <c:pt idx="13" formatCode="0.00_ ">
                  <c:v>1.6853969</c:v>
                </c:pt>
                <c:pt idx="14" formatCode="0.00_ ">
                  <c:v>1.5806909</c:v>
                </c:pt>
                <c:pt idx="15" formatCode="0.00_ ">
                  <c:v>1.5301155</c:v>
                </c:pt>
                <c:pt idx="16" formatCode="0.00_ ">
                  <c:v>1.5418554</c:v>
                </c:pt>
                <c:pt idx="17" formatCode="0.00_ ">
                  <c:v>1.5859576</c:v>
                </c:pt>
                <c:pt idx="18" formatCode="0.00_ ">
                  <c:v>1.5560365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425-4239-868B-E0572FBD4E15}"/>
            </c:ext>
          </c:extLst>
        </c:ser>
        <c:ser>
          <c:idx val="6"/>
          <c:order val="6"/>
          <c:tx>
            <c:strRef>
              <c:f>EM_total_유기물형광지표!$B$116</c:f>
              <c:strCache>
                <c:ptCount val="1"/>
                <c:pt idx="0">
                  <c:v>Groundwater-25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00B0F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EM_total_유기물형광지표!$E$116:$E$118</c:f>
              <c:numCache>
                <c:formatCode>0.00</c:formatCode>
                <c:ptCount val="3"/>
                <c:pt idx="0">
                  <c:v>1.4426768000000001</c:v>
                </c:pt>
                <c:pt idx="1">
                  <c:v>1.5235141000000001</c:v>
                </c:pt>
                <c:pt idx="2">
                  <c:v>5.0078598999999997</c:v>
                </c:pt>
              </c:numCache>
            </c:numRef>
          </c:xVal>
          <c:yVal>
            <c:numRef>
              <c:f>EM_total_유기물형광지표!$G$116:$G$118</c:f>
              <c:numCache>
                <c:formatCode>0.00</c:formatCode>
                <c:ptCount val="3"/>
                <c:pt idx="0">
                  <c:v>2.2023035000000002</c:v>
                </c:pt>
                <c:pt idx="1">
                  <c:v>2.2803138000000001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425-4239-868B-E0572FBD4E15}"/>
            </c:ext>
          </c:extLst>
        </c:ser>
        <c:ser>
          <c:idx val="7"/>
          <c:order val="7"/>
          <c:tx>
            <c:strRef>
              <c:f>EM_total_유기물형광지표!$B$119</c:f>
              <c:strCache>
                <c:ptCount val="1"/>
                <c:pt idx="0">
                  <c:v>Groundwater-24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rgbClr val="00B0F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EM_total_유기물형광지표!$E$119:$E$122</c:f>
              <c:numCache>
                <c:formatCode>0.00</c:formatCode>
                <c:ptCount val="4"/>
                <c:pt idx="0">
                  <c:v>3.2409005</c:v>
                </c:pt>
                <c:pt idx="1">
                  <c:v>3.4010318000000002</c:v>
                </c:pt>
                <c:pt idx="2">
                  <c:v>5.2600332999999999</c:v>
                </c:pt>
                <c:pt idx="3">
                  <c:v>4.0686662</c:v>
                </c:pt>
              </c:numCache>
            </c:numRef>
          </c:xVal>
          <c:yVal>
            <c:numRef>
              <c:f>EM_total_유기물형광지표!$K$119:$K$122</c:f>
              <c:numCache>
                <c:formatCode>0.00</c:formatCode>
                <c:ptCount val="4"/>
                <c:pt idx="0">
                  <c:v>1.6631912</c:v>
                </c:pt>
                <c:pt idx="1">
                  <c:v>1.6990331999999999</c:v>
                </c:pt>
                <c:pt idx="2">
                  <c:v>1.7888577000000001</c:v>
                </c:pt>
                <c:pt idx="3">
                  <c:v>1.5867036999999999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425-4239-868B-E0572FBD4E15}"/>
            </c:ext>
          </c:extLst>
        </c:ser>
        <c:ser>
          <c:idx val="8"/>
          <c:order val="8"/>
          <c:tx>
            <c:strRef>
              <c:f>EM_total_유기물형광지표!$B$2</c:f>
              <c:strCache>
                <c:ptCount val="1"/>
                <c:pt idx="0">
                  <c:v>Leaves-25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7030A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EM_total_유기물형광지표!$E$2:$E$3</c:f>
              <c:numCache>
                <c:formatCode>0.00_ </c:formatCode>
                <c:ptCount val="2"/>
                <c:pt idx="0">
                  <c:v>5.4515181000000004</c:v>
                </c:pt>
                <c:pt idx="1">
                  <c:v>4.9256336000000003</c:v>
                </c:pt>
              </c:numCache>
            </c:numRef>
          </c:xVal>
          <c:yVal>
            <c:numRef>
              <c:f>EM_total_유기물형광지표!$G$2:$G$3</c:f>
              <c:numCache>
                <c:formatCode>0.00_ </c:formatCode>
                <c:ptCount val="2"/>
                <c:pt idx="0">
                  <c:v>0.41214858999999998</c:v>
                </c:pt>
                <c:pt idx="1">
                  <c:v>0.65042889999999998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425-4239-868B-E0572FBD4E15}"/>
            </c:ext>
          </c:extLst>
        </c:ser>
        <c:ser>
          <c:idx val="9"/>
          <c:order val="9"/>
          <c:tx>
            <c:strRef>
              <c:f>EM_total_유기물형광지표!$B$5</c:f>
              <c:strCache>
                <c:ptCount val="1"/>
                <c:pt idx="0">
                  <c:v>Leaves-24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rgbClr val="7030A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EM_total_유기물형광지표!$E$5:$E$7</c:f>
              <c:numCache>
                <c:formatCode>0.00_ </c:formatCode>
                <c:ptCount val="3"/>
                <c:pt idx="0">
                  <c:v>5.0131062000000002</c:v>
                </c:pt>
                <c:pt idx="1">
                  <c:v>0.53309353000000004</c:v>
                </c:pt>
                <c:pt idx="2">
                  <c:v>0.76725193999999997</c:v>
                </c:pt>
              </c:numCache>
            </c:numRef>
          </c:xVal>
          <c:yVal>
            <c:numRef>
              <c:f>EM_total_유기물형광지표!$G$5:$G$7</c:f>
              <c:numCache>
                <c:formatCode>0.00_ </c:formatCode>
                <c:ptCount val="3"/>
                <c:pt idx="0">
                  <c:v>0.54322497000000003</c:v>
                </c:pt>
                <c:pt idx="1">
                  <c:v>0.33122484000000002</c:v>
                </c:pt>
                <c:pt idx="2">
                  <c:v>0.49982269000000001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425-4239-868B-E0572FBD4E15}"/>
            </c:ext>
          </c:extLst>
        </c:ser>
        <c:ser>
          <c:idx val="10"/>
          <c:order val="10"/>
          <c:tx>
            <c:strRef>
              <c:f>EM_total_유기물형광지표!$B$8</c:f>
              <c:strCache>
                <c:ptCount val="1"/>
                <c:pt idx="0">
                  <c:v>Plants-25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00B05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EM_total_유기물형광지표!$E$8</c:f>
              <c:numCache>
                <c:formatCode>0.00_ </c:formatCode>
                <c:ptCount val="1"/>
                <c:pt idx="0">
                  <c:v>14.799187</c:v>
                </c:pt>
              </c:numCache>
            </c:numRef>
          </c:xVal>
          <c:yVal>
            <c:numRef>
              <c:f>EM_total_유기물형광지표!$G$8</c:f>
              <c:numCache>
                <c:formatCode>0.00_ </c:formatCode>
                <c:ptCount val="1"/>
                <c:pt idx="0">
                  <c:v>1.2069160000000001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4425-4239-868B-E0572FBD4E15}"/>
            </c:ext>
          </c:extLst>
        </c:ser>
        <c:ser>
          <c:idx val="11"/>
          <c:order val="11"/>
          <c:tx>
            <c:strRef>
              <c:f>EM_total_유기물형광지표!$B$9</c:f>
              <c:strCache>
                <c:ptCount val="1"/>
                <c:pt idx="0">
                  <c:v>Plants-24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rgbClr val="00B05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EM_total_유기물형광지표!$E$9:$E$12</c:f>
              <c:numCache>
                <c:formatCode>0.00_ </c:formatCode>
                <c:ptCount val="4"/>
                <c:pt idx="0">
                  <c:v>18.253259</c:v>
                </c:pt>
                <c:pt idx="1">
                  <c:v>15.894565</c:v>
                </c:pt>
                <c:pt idx="2">
                  <c:v>15.673439999999999</c:v>
                </c:pt>
                <c:pt idx="3">
                  <c:v>12.957406000000001</c:v>
                </c:pt>
              </c:numCache>
            </c:numRef>
          </c:xVal>
          <c:yVal>
            <c:numRef>
              <c:f>EM_total_유기물형광지표!$G$9:$G$12</c:f>
              <c:numCache>
                <c:formatCode>0.00_ </c:formatCode>
                <c:ptCount val="4"/>
                <c:pt idx="0">
                  <c:v>1.2474521999999999</c:v>
                </c:pt>
                <c:pt idx="1">
                  <c:v>1.2979887999999999</c:v>
                </c:pt>
                <c:pt idx="2">
                  <c:v>1.2137967000000001</c:v>
                </c:pt>
                <c:pt idx="3">
                  <c:v>1.3070550000000001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4425-4239-868B-E0572FBD4E15}"/>
            </c:ext>
          </c:extLst>
        </c:ser>
        <c:ser>
          <c:idx val="12"/>
          <c:order val="12"/>
          <c:tx>
            <c:strRef>
              <c:f>EM_total_유기물형광지표!$B$13</c:f>
              <c:strCache>
                <c:ptCount val="1"/>
                <c:pt idx="0">
                  <c:v>Alage-25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92D05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EM_total_유기물형광지표!$E$13:$E$16</c:f>
              <c:numCache>
                <c:formatCode>0.00_ </c:formatCode>
                <c:ptCount val="4"/>
                <c:pt idx="0">
                  <c:v>2.9537789999999999</c:v>
                </c:pt>
                <c:pt idx="1">
                  <c:v>10.676766000000001</c:v>
                </c:pt>
                <c:pt idx="2">
                  <c:v>3.8646913000000001</c:v>
                </c:pt>
                <c:pt idx="3">
                  <c:v>3.7434799000000001</c:v>
                </c:pt>
              </c:numCache>
            </c:numRef>
          </c:xVal>
          <c:yVal>
            <c:numRef>
              <c:f>EM_total_유기물형광지표!$G$13:$G$16</c:f>
              <c:numCache>
                <c:formatCode>0.00_ </c:formatCode>
                <c:ptCount val="4"/>
                <c:pt idx="0">
                  <c:v>1.2585497000000001</c:v>
                </c:pt>
                <c:pt idx="1">
                  <c:v>1.1585510000000001</c:v>
                </c:pt>
                <c:pt idx="2">
                  <c:v>1.0877029</c:v>
                </c:pt>
                <c:pt idx="3">
                  <c:v>1.0939308000000001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4425-4239-868B-E0572FBD4E15}"/>
            </c:ext>
          </c:extLst>
        </c:ser>
        <c:ser>
          <c:idx val="13"/>
          <c:order val="13"/>
          <c:tx>
            <c:strRef>
              <c:f>EM_total_유기물형광지표!$B$17</c:f>
              <c:strCache>
                <c:ptCount val="1"/>
                <c:pt idx="0">
                  <c:v>Alage-24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rgbClr val="92D05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EM_total_유기물형광지표!$E$17:$E$23</c:f>
              <c:numCache>
                <c:formatCode>0.00_ </c:formatCode>
                <c:ptCount val="7"/>
                <c:pt idx="0">
                  <c:v>7.5397732</c:v>
                </c:pt>
                <c:pt idx="1">
                  <c:v>10.8985</c:v>
                </c:pt>
                <c:pt idx="2">
                  <c:v>5.4716737000000002</c:v>
                </c:pt>
                <c:pt idx="3">
                  <c:v>11.120661</c:v>
                </c:pt>
                <c:pt idx="4">
                  <c:v>3.4161260000000002</c:v>
                </c:pt>
                <c:pt idx="5">
                  <c:v>19.154025000000001</c:v>
                </c:pt>
                <c:pt idx="6">
                  <c:v>6.8927538999999998</c:v>
                </c:pt>
              </c:numCache>
            </c:numRef>
          </c:xVal>
          <c:yVal>
            <c:numRef>
              <c:f>EM_total_유기물형광지표!$G$17:$G$23</c:f>
              <c:numCache>
                <c:formatCode>0.00_ </c:formatCode>
                <c:ptCount val="7"/>
                <c:pt idx="0">
                  <c:v>1.4602349999999999</c:v>
                </c:pt>
                <c:pt idx="1">
                  <c:v>1.3749370000000001</c:v>
                </c:pt>
                <c:pt idx="2">
                  <c:v>1.5395901000000001</c:v>
                </c:pt>
                <c:pt idx="3">
                  <c:v>1.3940493</c:v>
                </c:pt>
                <c:pt idx="4">
                  <c:v>1.3658755</c:v>
                </c:pt>
                <c:pt idx="5">
                  <c:v>1.3888729</c:v>
                </c:pt>
                <c:pt idx="6">
                  <c:v>1.3366442999999999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4425-4239-868B-E0572FBD4E15}"/>
            </c:ext>
          </c:extLst>
        </c:ser>
        <c:ser>
          <c:idx val="14"/>
          <c:order val="14"/>
          <c:tx>
            <c:strRef>
              <c:f>EM_total_유기물형광지표!$B$24</c:f>
              <c:strCache>
                <c:ptCount val="1"/>
                <c:pt idx="0">
                  <c:v>Compost-25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bg2">
                  <a:lumMod val="50000"/>
                </a:schemeClr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EM_total_유기물형광지표!$E$24:$E$28</c:f>
              <c:numCache>
                <c:formatCode>0.00_ </c:formatCode>
                <c:ptCount val="5"/>
                <c:pt idx="0">
                  <c:v>63.734005000000003</c:v>
                </c:pt>
                <c:pt idx="1">
                  <c:v>79.314628999999996</c:v>
                </c:pt>
                <c:pt idx="2">
                  <c:v>56.9377</c:v>
                </c:pt>
                <c:pt idx="3">
                  <c:v>13.699883</c:v>
                </c:pt>
                <c:pt idx="4" formatCode="0.00">
                  <c:v>48.711221999999999</c:v>
                </c:pt>
              </c:numCache>
            </c:numRef>
          </c:xVal>
          <c:yVal>
            <c:numRef>
              <c:f>EM_total_유기물형광지표!$G$24:$G$28</c:f>
              <c:numCache>
                <c:formatCode>0.00_ </c:formatCode>
                <c:ptCount val="5"/>
                <c:pt idx="0">
                  <c:v>1.0194175999999999</c:v>
                </c:pt>
                <c:pt idx="1">
                  <c:v>1.1583357000000001</c:v>
                </c:pt>
                <c:pt idx="2">
                  <c:v>1.0643672</c:v>
                </c:pt>
                <c:pt idx="3">
                  <c:v>0.67291367999999996</c:v>
                </c:pt>
                <c:pt idx="4" formatCode="0.00">
                  <c:v>0.82384173000000005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4425-4239-868B-E0572FBD4E15}"/>
            </c:ext>
          </c:extLst>
        </c:ser>
        <c:ser>
          <c:idx val="15"/>
          <c:order val="15"/>
          <c:tx>
            <c:strRef>
              <c:f>EM_total_유기물형광지표!$B$29</c:f>
              <c:strCache>
                <c:ptCount val="1"/>
                <c:pt idx="0">
                  <c:v>Compost-24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chemeClr val="bg2">
                  <a:lumMod val="50000"/>
                </a:schemeClr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EM_total_유기물형광지표!$E$29:$E$30</c:f>
              <c:numCache>
                <c:formatCode>0.00_ </c:formatCode>
                <c:ptCount val="2"/>
                <c:pt idx="0">
                  <c:v>13.837702</c:v>
                </c:pt>
                <c:pt idx="1">
                  <c:v>2.8329843000000001</c:v>
                </c:pt>
              </c:numCache>
            </c:numRef>
          </c:xVal>
          <c:yVal>
            <c:numRef>
              <c:f>EM_total_유기물형광지표!$G$29:$G$30</c:f>
              <c:numCache>
                <c:formatCode>General</c:formatCode>
                <c:ptCount val="2"/>
                <c:pt idx="0" formatCode="0.00_ ">
                  <c:v>0.90452336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4425-4239-868B-E0572FBD4E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8789552"/>
        <c:axId val="728790992"/>
      </c:scatterChart>
      <c:valAx>
        <c:axId val="728789552"/>
        <c:scaling>
          <c:orientation val="minMax"/>
          <c:max val="9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KoPub돋움체 Bold" panose="00000800000000000000" pitchFamily="2" charset="-127"/>
                    <a:ea typeface="KoPub돋움체 Bold" panose="00000800000000000000" pitchFamily="2" charset="-127"/>
                    <a:cs typeface="+mn-cs"/>
                  </a:defRPr>
                </a:pPr>
                <a:r>
                  <a:rPr lang="en-US" altLang="ko-KR"/>
                  <a:t>HIX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0.42799263487441486"/>
              <c:y val="0.932056329497274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KoPub돋움체 Bold" panose="00000800000000000000" pitchFamily="2" charset="-127"/>
                  <a:ea typeface="KoPub돋움체 Bold" panose="00000800000000000000" pitchFamily="2" charset="-127"/>
                  <a:cs typeface="+mn-cs"/>
                </a:defRPr>
              </a:pPr>
              <a:endParaRPr lang="ko-KR"/>
            </a:p>
          </c:txPr>
        </c:title>
        <c:numFmt formatCode="0.00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KoPub돋움체 Bold" panose="00000800000000000000" pitchFamily="2" charset="-127"/>
                <a:ea typeface="KoPub돋움체 Bold" panose="00000800000000000000" pitchFamily="2" charset="-127"/>
                <a:cs typeface="+mn-cs"/>
              </a:defRPr>
            </a:pPr>
            <a:endParaRPr lang="ko-KR"/>
          </a:p>
        </c:txPr>
        <c:crossAx val="728790992"/>
        <c:crosses val="autoZero"/>
        <c:crossBetween val="midCat"/>
      </c:valAx>
      <c:valAx>
        <c:axId val="728790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KoPub돋움체 Bold" panose="00000800000000000000" pitchFamily="2" charset="-127"/>
                    <a:ea typeface="KoPub돋움체 Bold" panose="00000800000000000000" pitchFamily="2" charset="-127"/>
                    <a:cs typeface="+mn-cs"/>
                  </a:defRPr>
                </a:pPr>
                <a:r>
                  <a:rPr lang="en-US" altLang="ko-KR"/>
                  <a:t>FI</a:t>
                </a:r>
                <a:endParaRPr lang="ko-KR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KoPub돋움체 Bold" panose="00000800000000000000" pitchFamily="2" charset="-127"/>
                  <a:ea typeface="KoPub돋움체 Bold" panose="00000800000000000000" pitchFamily="2" charset="-127"/>
                  <a:cs typeface="+mn-cs"/>
                </a:defRPr>
              </a:pPr>
              <a:endParaRPr lang="ko-K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KoPub돋움체 Bold" panose="00000800000000000000" pitchFamily="2" charset="-127"/>
                <a:ea typeface="KoPub돋움체 Bold" panose="00000800000000000000" pitchFamily="2" charset="-127"/>
                <a:cs typeface="+mn-cs"/>
              </a:defRPr>
            </a:pPr>
            <a:endParaRPr lang="ko-KR"/>
          </a:p>
        </c:txPr>
        <c:crossAx val="728789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894116372815647"/>
          <c:y val="5.6739971113078318E-2"/>
          <c:w val="0.21957520491903429"/>
          <c:h val="0.79609603114523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KoPub돋움체 Bold" panose="00000800000000000000" pitchFamily="2" charset="-127"/>
              <a:ea typeface="KoPub돋움체 Bold" panose="00000800000000000000" pitchFamily="2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KoPub돋움체 Bold" panose="00000800000000000000" pitchFamily="2" charset="-127"/>
          <a:ea typeface="KoPub돋움체 Bold" panose="00000800000000000000" pitchFamily="2" charset="-127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453078270300697E-2"/>
          <c:y val="3.7670409542002507E-2"/>
          <c:w val="0.6856330685002362"/>
          <c:h val="0.82979056981782617"/>
        </c:manualLayout>
      </c:layout>
      <c:scatterChart>
        <c:scatterStyle val="lineMarker"/>
        <c:varyColors val="0"/>
        <c:ser>
          <c:idx val="0"/>
          <c:order val="0"/>
          <c:tx>
            <c:strRef>
              <c:f>EM_total_유기물형광지표!$B$33</c:f>
              <c:strCache>
                <c:ptCount val="1"/>
                <c:pt idx="0">
                  <c:v>Soil-25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C0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EM_total_유기물형광지표!$E$33:$E$54</c:f>
              <c:numCache>
                <c:formatCode>0.00</c:formatCode>
                <c:ptCount val="22"/>
                <c:pt idx="0">
                  <c:v>5.6331854999999997</c:v>
                </c:pt>
                <c:pt idx="1">
                  <c:v>1.6164504</c:v>
                </c:pt>
                <c:pt idx="2">
                  <c:v>12.970205</c:v>
                </c:pt>
                <c:pt idx="3">
                  <c:v>10.176845999999999</c:v>
                </c:pt>
                <c:pt idx="4">
                  <c:v>4.8600218000000002</c:v>
                </c:pt>
                <c:pt idx="5">
                  <c:v>14.068768</c:v>
                </c:pt>
                <c:pt idx="6">
                  <c:v>8.6286001999999993</c:v>
                </c:pt>
                <c:pt idx="7">
                  <c:v>11.978322</c:v>
                </c:pt>
                <c:pt idx="8">
                  <c:v>8.9892093000000006</c:v>
                </c:pt>
                <c:pt idx="9">
                  <c:v>5.4262975000000004</c:v>
                </c:pt>
                <c:pt idx="10">
                  <c:v>6.9184364</c:v>
                </c:pt>
                <c:pt idx="11">
                  <c:v>4.8623301000000003</c:v>
                </c:pt>
                <c:pt idx="12">
                  <c:v>6.2907875000000004</c:v>
                </c:pt>
                <c:pt idx="13">
                  <c:v>3.0154659000000001</c:v>
                </c:pt>
                <c:pt idx="14">
                  <c:v>1.1038642999999999</c:v>
                </c:pt>
                <c:pt idx="15">
                  <c:v>2.9362929000000002</c:v>
                </c:pt>
                <c:pt idx="16">
                  <c:v>4.6613832000000004</c:v>
                </c:pt>
                <c:pt idx="17">
                  <c:v>11.536314000000001</c:v>
                </c:pt>
                <c:pt idx="18">
                  <c:v>3.6365299000000002</c:v>
                </c:pt>
                <c:pt idx="19">
                  <c:v>14.028375</c:v>
                </c:pt>
                <c:pt idx="20">
                  <c:v>8.9602477</c:v>
                </c:pt>
                <c:pt idx="21">
                  <c:v>7.1394872999999999</c:v>
                </c:pt>
              </c:numCache>
            </c:numRef>
          </c:xVal>
          <c:yVal>
            <c:numRef>
              <c:f>EM_total_유기물형광지표!$G$33:$G$54</c:f>
              <c:numCache>
                <c:formatCode>General</c:formatCode>
                <c:ptCount val="22"/>
                <c:pt idx="0" formatCode="0.00">
                  <c:v>1.1389050000000001</c:v>
                </c:pt>
                <c:pt idx="2" formatCode="0.00">
                  <c:v>1.1658522</c:v>
                </c:pt>
                <c:pt idx="3" formatCode="0.00">
                  <c:v>1.2896307</c:v>
                </c:pt>
                <c:pt idx="4" formatCode="0.00">
                  <c:v>1.2419627</c:v>
                </c:pt>
                <c:pt idx="5" formatCode="0.00">
                  <c:v>1.2383124999999999</c:v>
                </c:pt>
                <c:pt idx="6" formatCode="0.00">
                  <c:v>1.1680168</c:v>
                </c:pt>
                <c:pt idx="7" formatCode="0.00">
                  <c:v>1.2595050000000001</c:v>
                </c:pt>
                <c:pt idx="8" formatCode="0.00">
                  <c:v>1.1141143</c:v>
                </c:pt>
                <c:pt idx="9" formatCode="0.00">
                  <c:v>1.2906054</c:v>
                </c:pt>
                <c:pt idx="10" formatCode="0.00">
                  <c:v>1.1679872</c:v>
                </c:pt>
                <c:pt idx="11" formatCode="0.00">
                  <c:v>1.2110197</c:v>
                </c:pt>
                <c:pt idx="12" formatCode="0.00">
                  <c:v>1.1939017999999999</c:v>
                </c:pt>
                <c:pt idx="13" formatCode="0.00">
                  <c:v>1.2703684</c:v>
                </c:pt>
                <c:pt idx="15" formatCode="0.00">
                  <c:v>1.3474322000000001</c:v>
                </c:pt>
                <c:pt idx="16" formatCode="0.00">
                  <c:v>1.1404590999999999</c:v>
                </c:pt>
                <c:pt idx="17" formatCode="0.00">
                  <c:v>1.2074729</c:v>
                </c:pt>
                <c:pt idx="18" formatCode="0.00">
                  <c:v>1.1205012999999999</c:v>
                </c:pt>
                <c:pt idx="19" formatCode="0.00">
                  <c:v>1.1938092</c:v>
                </c:pt>
                <c:pt idx="20" formatCode="0.00">
                  <c:v>1.3825225999999999</c:v>
                </c:pt>
                <c:pt idx="21" formatCode="0.00">
                  <c:v>1.2055952999999999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BD-45CF-BA0B-1EBF494D9A4E}"/>
            </c:ext>
          </c:extLst>
        </c:ser>
        <c:ser>
          <c:idx val="1"/>
          <c:order val="1"/>
          <c:tx>
            <c:strRef>
              <c:f>EM_total_유기물형광지표!$B$55</c:f>
              <c:strCache>
                <c:ptCount val="1"/>
                <c:pt idx="0">
                  <c:v>Soil-24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rgbClr val="C0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EM_total_유기물형광지표!$E$55:$E$73</c:f>
              <c:numCache>
                <c:formatCode>0.00</c:formatCode>
                <c:ptCount val="19"/>
                <c:pt idx="0">
                  <c:v>4.2631950999999999</c:v>
                </c:pt>
                <c:pt idx="1">
                  <c:v>19.799914000000001</c:v>
                </c:pt>
                <c:pt idx="2">
                  <c:v>17.713673</c:v>
                </c:pt>
                <c:pt idx="3">
                  <c:v>11.703141</c:v>
                </c:pt>
                <c:pt idx="4">
                  <c:v>10.660031</c:v>
                </c:pt>
                <c:pt idx="5">
                  <c:v>4.0775791000000003</c:v>
                </c:pt>
                <c:pt idx="6">
                  <c:v>6.3679626000000003</c:v>
                </c:pt>
                <c:pt idx="7">
                  <c:v>6.5884904999999998</c:v>
                </c:pt>
                <c:pt idx="8">
                  <c:v>4.5313696999999999</c:v>
                </c:pt>
                <c:pt idx="9">
                  <c:v>4.3217663000000002</c:v>
                </c:pt>
                <c:pt idx="10">
                  <c:v>10.644598</c:v>
                </c:pt>
                <c:pt idx="11">
                  <c:v>4.7711347000000002</c:v>
                </c:pt>
                <c:pt idx="12">
                  <c:v>3.0175786000000002</c:v>
                </c:pt>
                <c:pt idx="13">
                  <c:v>5.5132121999999999</c:v>
                </c:pt>
                <c:pt idx="14">
                  <c:v>17.553982000000001</c:v>
                </c:pt>
                <c:pt idx="15">
                  <c:v>13.358699</c:v>
                </c:pt>
                <c:pt idx="16">
                  <c:v>22.721160000000001</c:v>
                </c:pt>
                <c:pt idx="17">
                  <c:v>8.3730086000000004</c:v>
                </c:pt>
                <c:pt idx="18">
                  <c:v>14.321686</c:v>
                </c:pt>
              </c:numCache>
            </c:numRef>
          </c:xVal>
          <c:yVal>
            <c:numRef>
              <c:f>EM_total_유기물형광지표!$G$55:$G$73</c:f>
              <c:numCache>
                <c:formatCode>0.00</c:formatCode>
                <c:ptCount val="19"/>
                <c:pt idx="0">
                  <c:v>1.3672419</c:v>
                </c:pt>
                <c:pt idx="1">
                  <c:v>1.2168981999999999</c:v>
                </c:pt>
                <c:pt idx="2">
                  <c:v>1.2991196</c:v>
                </c:pt>
                <c:pt idx="3">
                  <c:v>1.2029145999999999</c:v>
                </c:pt>
                <c:pt idx="4">
                  <c:v>1.2702434</c:v>
                </c:pt>
                <c:pt idx="5">
                  <c:v>1.3213185000000001</c:v>
                </c:pt>
                <c:pt idx="6">
                  <c:v>1.2683205</c:v>
                </c:pt>
                <c:pt idx="7">
                  <c:v>1.2475295</c:v>
                </c:pt>
                <c:pt idx="9">
                  <c:v>1.3522186</c:v>
                </c:pt>
                <c:pt idx="10">
                  <c:v>1.3306944000000001</c:v>
                </c:pt>
                <c:pt idx="11">
                  <c:v>1.2001599000000001</c:v>
                </c:pt>
                <c:pt idx="13">
                  <c:v>1.3106876000000001</c:v>
                </c:pt>
                <c:pt idx="18">
                  <c:v>1.2379784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BD-45CF-BA0B-1EBF494D9A4E}"/>
            </c:ext>
          </c:extLst>
        </c:ser>
        <c:ser>
          <c:idx val="2"/>
          <c:order val="2"/>
          <c:tx>
            <c:strRef>
              <c:f>EM_total_유기물형광지표!$B$75</c:f>
              <c:strCache>
                <c:ptCount val="1"/>
                <c:pt idx="0">
                  <c:v>Effluent-25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4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EM_total_유기물형광지표!$E$75:$E$87</c:f>
              <c:numCache>
                <c:formatCode>0.00</c:formatCode>
                <c:ptCount val="13"/>
                <c:pt idx="0">
                  <c:v>5.8049603000000003</c:v>
                </c:pt>
                <c:pt idx="1">
                  <c:v>5.8095334000000003</c:v>
                </c:pt>
                <c:pt idx="2">
                  <c:v>3.0508603999999999</c:v>
                </c:pt>
                <c:pt idx="3">
                  <c:v>7.8475326000000001</c:v>
                </c:pt>
                <c:pt idx="4">
                  <c:v>7.4526794000000001</c:v>
                </c:pt>
                <c:pt idx="5">
                  <c:v>3.3785371</c:v>
                </c:pt>
                <c:pt idx="6">
                  <c:v>7.3920374000000004</c:v>
                </c:pt>
                <c:pt idx="7">
                  <c:v>6.6976361000000004</c:v>
                </c:pt>
                <c:pt idx="8">
                  <c:v>8.4458792000000003</c:v>
                </c:pt>
                <c:pt idx="9">
                  <c:v>8.5724362999999997</c:v>
                </c:pt>
                <c:pt idx="10">
                  <c:v>7.1005704999999999</c:v>
                </c:pt>
                <c:pt idx="11">
                  <c:v>3.0762078000000002</c:v>
                </c:pt>
                <c:pt idx="12">
                  <c:v>8.5688948000000007</c:v>
                </c:pt>
              </c:numCache>
            </c:numRef>
          </c:xVal>
          <c:yVal>
            <c:numRef>
              <c:f>EM_total_유기물형광지표!$G$75:$G$87</c:f>
              <c:numCache>
                <c:formatCode>0.00</c:formatCode>
                <c:ptCount val="13"/>
                <c:pt idx="0">
                  <c:v>1.2337575999999999</c:v>
                </c:pt>
                <c:pt idx="1">
                  <c:v>1.2931969000000001</c:v>
                </c:pt>
                <c:pt idx="3">
                  <c:v>1.3409952000000001</c:v>
                </c:pt>
                <c:pt idx="4">
                  <c:v>1.2573721</c:v>
                </c:pt>
                <c:pt idx="5">
                  <c:v>1.4216845</c:v>
                </c:pt>
                <c:pt idx="6">
                  <c:v>1.3606240000000001</c:v>
                </c:pt>
                <c:pt idx="7">
                  <c:v>1.3601688999999999</c:v>
                </c:pt>
                <c:pt idx="8">
                  <c:v>1.3424472999999999</c:v>
                </c:pt>
                <c:pt idx="9">
                  <c:v>1.3210763000000001</c:v>
                </c:pt>
                <c:pt idx="10">
                  <c:v>1.3099749999999999</c:v>
                </c:pt>
                <c:pt idx="11">
                  <c:v>1.3676060000000001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3BD-45CF-BA0B-1EBF494D9A4E}"/>
            </c:ext>
          </c:extLst>
        </c:ser>
        <c:ser>
          <c:idx val="3"/>
          <c:order val="3"/>
          <c:tx>
            <c:strRef>
              <c:f>EM_total_유기물형광지표!$B$88</c:f>
              <c:strCache>
                <c:ptCount val="1"/>
                <c:pt idx="0">
                  <c:v>Effluent-24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chemeClr val="accent4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EM_total_유기물형광지표!$E$88:$E$92</c:f>
              <c:numCache>
                <c:formatCode>0.00</c:formatCode>
                <c:ptCount val="5"/>
                <c:pt idx="0">
                  <c:v>4.6149015999999996</c:v>
                </c:pt>
                <c:pt idx="1">
                  <c:v>10.991274000000001</c:v>
                </c:pt>
                <c:pt idx="2">
                  <c:v>4.53</c:v>
                </c:pt>
                <c:pt idx="3">
                  <c:v>5.0716185999999999</c:v>
                </c:pt>
                <c:pt idx="4">
                  <c:v>5.1669020000000003</c:v>
                </c:pt>
              </c:numCache>
            </c:numRef>
          </c:xVal>
          <c:yVal>
            <c:numRef>
              <c:f>EM_total_유기물형광지표!$G$88:$G$92</c:f>
              <c:numCache>
                <c:formatCode>0.00</c:formatCode>
                <c:ptCount val="5"/>
                <c:pt idx="0">
                  <c:v>1.3419743</c:v>
                </c:pt>
                <c:pt idx="1">
                  <c:v>1.3507718</c:v>
                </c:pt>
                <c:pt idx="2">
                  <c:v>1.33</c:v>
                </c:pt>
                <c:pt idx="3">
                  <c:v>1.2784743999999999</c:v>
                </c:pt>
                <c:pt idx="4">
                  <c:v>1.2976907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3BD-45CF-BA0B-1EBF494D9A4E}"/>
            </c:ext>
          </c:extLst>
        </c:ser>
        <c:ser>
          <c:idx val="4"/>
          <c:order val="4"/>
          <c:tx>
            <c:strRef>
              <c:f>EM_total_유기물형광지표!$B$93</c:f>
              <c:strCache>
                <c:ptCount val="1"/>
                <c:pt idx="0">
                  <c:v>Sewage-25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0070C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EM_total_유기물형광지표!$E$93:$E$96</c:f>
              <c:numCache>
                <c:formatCode>0.00</c:formatCode>
                <c:ptCount val="4"/>
                <c:pt idx="0">
                  <c:v>2.5752028999999999</c:v>
                </c:pt>
                <c:pt idx="1">
                  <c:v>2.7002670000000002</c:v>
                </c:pt>
                <c:pt idx="2">
                  <c:v>1.9352218000000001</c:v>
                </c:pt>
                <c:pt idx="3">
                  <c:v>2.7002670000000002</c:v>
                </c:pt>
              </c:numCache>
            </c:numRef>
          </c:xVal>
          <c:yVal>
            <c:numRef>
              <c:f>EM_total_유기물형광지표!$G$93:$G$96</c:f>
              <c:numCache>
                <c:formatCode>0.00</c:formatCode>
                <c:ptCount val="4"/>
                <c:pt idx="0">
                  <c:v>1.6363198999999999</c:v>
                </c:pt>
                <c:pt idx="1">
                  <c:v>1.586244</c:v>
                </c:pt>
                <c:pt idx="2">
                  <c:v>1.5625167</c:v>
                </c:pt>
                <c:pt idx="3">
                  <c:v>1.586244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3BD-45CF-BA0B-1EBF494D9A4E}"/>
            </c:ext>
          </c:extLst>
        </c:ser>
        <c:ser>
          <c:idx val="5"/>
          <c:order val="5"/>
          <c:tx>
            <c:strRef>
              <c:f>EM_total_유기물형광지표!$B$97</c:f>
              <c:strCache>
                <c:ptCount val="1"/>
                <c:pt idx="0">
                  <c:v>Sewage-24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rgbClr val="0070C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EM_total_유기물형광지표!$E$97:$E$115</c:f>
              <c:numCache>
                <c:formatCode>0.00</c:formatCode>
                <c:ptCount val="19"/>
                <c:pt idx="0">
                  <c:v>3.0694995</c:v>
                </c:pt>
                <c:pt idx="1">
                  <c:v>2.2891900999999999</c:v>
                </c:pt>
                <c:pt idx="2">
                  <c:v>2.6410182999999998</c:v>
                </c:pt>
                <c:pt idx="3">
                  <c:v>2.4270472000000001</c:v>
                </c:pt>
                <c:pt idx="4">
                  <c:v>3.0674687</c:v>
                </c:pt>
                <c:pt idx="5">
                  <c:v>3.6090258</c:v>
                </c:pt>
                <c:pt idx="6">
                  <c:v>3.1068517999999998</c:v>
                </c:pt>
                <c:pt idx="7">
                  <c:v>3.3681662999999999</c:v>
                </c:pt>
                <c:pt idx="8">
                  <c:v>2.8073066999999998</c:v>
                </c:pt>
                <c:pt idx="9">
                  <c:v>3.1103890000000001</c:v>
                </c:pt>
                <c:pt idx="10">
                  <c:v>4.3552216000000001</c:v>
                </c:pt>
                <c:pt idx="11" formatCode="0.00_ ">
                  <c:v>2.5410629999999998</c:v>
                </c:pt>
                <c:pt idx="12" formatCode="0.00_ ">
                  <c:v>2.6623643000000001</c:v>
                </c:pt>
                <c:pt idx="13" formatCode="0.00_ ">
                  <c:v>1.8932445</c:v>
                </c:pt>
                <c:pt idx="14" formatCode="0.00_ ">
                  <c:v>2.8126639999999998</c:v>
                </c:pt>
                <c:pt idx="15" formatCode="0.00_ ">
                  <c:v>3.0038193</c:v>
                </c:pt>
                <c:pt idx="16" formatCode="0.00_ ">
                  <c:v>2.6464896000000002</c:v>
                </c:pt>
                <c:pt idx="17" formatCode="0.00_ ">
                  <c:v>2.6096987</c:v>
                </c:pt>
                <c:pt idx="18" formatCode="0.00_ ">
                  <c:v>4.1554232999999998</c:v>
                </c:pt>
              </c:numCache>
            </c:numRef>
          </c:xVal>
          <c:yVal>
            <c:numRef>
              <c:f>EM_total_유기물형광지표!$G$97:$G$115</c:f>
              <c:numCache>
                <c:formatCode>0.00</c:formatCode>
                <c:ptCount val="19"/>
                <c:pt idx="0">
                  <c:v>1.5689841</c:v>
                </c:pt>
                <c:pt idx="1">
                  <c:v>1.4963291999999999</c:v>
                </c:pt>
                <c:pt idx="2">
                  <c:v>1.5028785</c:v>
                </c:pt>
                <c:pt idx="3">
                  <c:v>1.5051988999999999</c:v>
                </c:pt>
                <c:pt idx="4">
                  <c:v>1.5697958000000001</c:v>
                </c:pt>
                <c:pt idx="5">
                  <c:v>1.5482205</c:v>
                </c:pt>
                <c:pt idx="6">
                  <c:v>1.5199166</c:v>
                </c:pt>
                <c:pt idx="7">
                  <c:v>1.4914305000000001</c:v>
                </c:pt>
                <c:pt idx="8">
                  <c:v>1.5458483999999999</c:v>
                </c:pt>
                <c:pt idx="9">
                  <c:v>1.5037609999999999</c:v>
                </c:pt>
                <c:pt idx="11" formatCode="0.00_ ">
                  <c:v>1.6120125999999999</c:v>
                </c:pt>
                <c:pt idx="13" formatCode="0.00_ ">
                  <c:v>1.6853969</c:v>
                </c:pt>
                <c:pt idx="14" formatCode="0.00_ ">
                  <c:v>1.5806909</c:v>
                </c:pt>
                <c:pt idx="15" formatCode="0.00_ ">
                  <c:v>1.5301155</c:v>
                </c:pt>
                <c:pt idx="16" formatCode="0.00_ ">
                  <c:v>1.5418554</c:v>
                </c:pt>
                <c:pt idx="17" formatCode="0.00_ ">
                  <c:v>1.5859576</c:v>
                </c:pt>
                <c:pt idx="18" formatCode="0.00_ ">
                  <c:v>1.5560365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3BD-45CF-BA0B-1EBF494D9A4E}"/>
            </c:ext>
          </c:extLst>
        </c:ser>
        <c:ser>
          <c:idx val="6"/>
          <c:order val="6"/>
          <c:tx>
            <c:strRef>
              <c:f>EM_total_유기물형광지표!$B$116</c:f>
              <c:strCache>
                <c:ptCount val="1"/>
                <c:pt idx="0">
                  <c:v>Groundwater-25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00B0F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EM_total_유기물형광지표!$E$116:$E$118</c:f>
              <c:numCache>
                <c:formatCode>0.00</c:formatCode>
                <c:ptCount val="3"/>
                <c:pt idx="0">
                  <c:v>1.4426768000000001</c:v>
                </c:pt>
                <c:pt idx="1">
                  <c:v>1.5235141000000001</c:v>
                </c:pt>
                <c:pt idx="2">
                  <c:v>5.0078598999999997</c:v>
                </c:pt>
              </c:numCache>
            </c:numRef>
          </c:xVal>
          <c:yVal>
            <c:numRef>
              <c:f>EM_total_유기물형광지표!$G$116:$G$118</c:f>
              <c:numCache>
                <c:formatCode>0.00</c:formatCode>
                <c:ptCount val="3"/>
                <c:pt idx="0">
                  <c:v>2.2023035000000002</c:v>
                </c:pt>
                <c:pt idx="1">
                  <c:v>2.2803138000000001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3BD-45CF-BA0B-1EBF494D9A4E}"/>
            </c:ext>
          </c:extLst>
        </c:ser>
        <c:ser>
          <c:idx val="7"/>
          <c:order val="7"/>
          <c:tx>
            <c:strRef>
              <c:f>EM_total_유기물형광지표!$B$119</c:f>
              <c:strCache>
                <c:ptCount val="1"/>
                <c:pt idx="0">
                  <c:v>Groundwater-24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rgbClr val="00B0F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EM_total_유기물형광지표!$E$119:$E$122</c:f>
              <c:numCache>
                <c:formatCode>0.00</c:formatCode>
                <c:ptCount val="4"/>
                <c:pt idx="0">
                  <c:v>3.2409005</c:v>
                </c:pt>
                <c:pt idx="1">
                  <c:v>3.4010318000000002</c:v>
                </c:pt>
                <c:pt idx="2">
                  <c:v>5.2600332999999999</c:v>
                </c:pt>
                <c:pt idx="3">
                  <c:v>4.0686662</c:v>
                </c:pt>
              </c:numCache>
            </c:numRef>
          </c:xVal>
          <c:yVal>
            <c:numRef>
              <c:f>EM_total_유기물형광지표!$K$119:$K$122</c:f>
              <c:numCache>
                <c:formatCode>0.00</c:formatCode>
                <c:ptCount val="4"/>
                <c:pt idx="0">
                  <c:v>1.6631912</c:v>
                </c:pt>
                <c:pt idx="1">
                  <c:v>1.6990331999999999</c:v>
                </c:pt>
                <c:pt idx="2">
                  <c:v>1.7888577000000001</c:v>
                </c:pt>
                <c:pt idx="3">
                  <c:v>1.5867036999999999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3BD-45CF-BA0B-1EBF494D9A4E}"/>
            </c:ext>
          </c:extLst>
        </c:ser>
        <c:ser>
          <c:idx val="8"/>
          <c:order val="8"/>
          <c:tx>
            <c:strRef>
              <c:f>EM_total_유기물형광지표!$B$2</c:f>
              <c:strCache>
                <c:ptCount val="1"/>
                <c:pt idx="0">
                  <c:v>Leaves-25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7030A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EM_total_유기물형광지표!$E$2:$E$3</c:f>
              <c:numCache>
                <c:formatCode>0.00_ </c:formatCode>
                <c:ptCount val="2"/>
                <c:pt idx="0">
                  <c:v>5.4515181000000004</c:v>
                </c:pt>
                <c:pt idx="1">
                  <c:v>4.9256336000000003</c:v>
                </c:pt>
              </c:numCache>
            </c:numRef>
          </c:xVal>
          <c:yVal>
            <c:numRef>
              <c:f>EM_total_유기물형광지표!$G$2:$G$3</c:f>
              <c:numCache>
                <c:formatCode>0.00_ </c:formatCode>
                <c:ptCount val="2"/>
                <c:pt idx="0">
                  <c:v>0.41214858999999998</c:v>
                </c:pt>
                <c:pt idx="1">
                  <c:v>0.65042889999999998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3BD-45CF-BA0B-1EBF494D9A4E}"/>
            </c:ext>
          </c:extLst>
        </c:ser>
        <c:ser>
          <c:idx val="9"/>
          <c:order val="9"/>
          <c:tx>
            <c:strRef>
              <c:f>EM_total_유기물형광지표!$B$5</c:f>
              <c:strCache>
                <c:ptCount val="1"/>
                <c:pt idx="0">
                  <c:v>Leaves-24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rgbClr val="7030A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EM_total_유기물형광지표!$E$5:$E$7</c:f>
              <c:numCache>
                <c:formatCode>0.00_ </c:formatCode>
                <c:ptCount val="3"/>
                <c:pt idx="0">
                  <c:v>5.0131062000000002</c:v>
                </c:pt>
                <c:pt idx="1">
                  <c:v>0.53309353000000004</c:v>
                </c:pt>
                <c:pt idx="2">
                  <c:v>0.76725193999999997</c:v>
                </c:pt>
              </c:numCache>
            </c:numRef>
          </c:xVal>
          <c:yVal>
            <c:numRef>
              <c:f>EM_total_유기물형광지표!$G$5:$G$7</c:f>
              <c:numCache>
                <c:formatCode>0.00_ </c:formatCode>
                <c:ptCount val="3"/>
                <c:pt idx="0">
                  <c:v>0.54322497000000003</c:v>
                </c:pt>
                <c:pt idx="1">
                  <c:v>0.33122484000000002</c:v>
                </c:pt>
                <c:pt idx="2">
                  <c:v>0.49982269000000001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3BD-45CF-BA0B-1EBF494D9A4E}"/>
            </c:ext>
          </c:extLst>
        </c:ser>
        <c:ser>
          <c:idx val="10"/>
          <c:order val="10"/>
          <c:tx>
            <c:strRef>
              <c:f>EM_total_유기물형광지표!$B$8</c:f>
              <c:strCache>
                <c:ptCount val="1"/>
                <c:pt idx="0">
                  <c:v>Plants-25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00B05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EM_total_유기물형광지표!$E$8</c:f>
              <c:numCache>
                <c:formatCode>0.00_ </c:formatCode>
                <c:ptCount val="1"/>
                <c:pt idx="0">
                  <c:v>14.799187</c:v>
                </c:pt>
              </c:numCache>
            </c:numRef>
          </c:xVal>
          <c:yVal>
            <c:numRef>
              <c:f>EM_total_유기물형광지표!$G$8</c:f>
              <c:numCache>
                <c:formatCode>0.00_ </c:formatCode>
                <c:ptCount val="1"/>
                <c:pt idx="0">
                  <c:v>1.2069160000000001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3BD-45CF-BA0B-1EBF494D9A4E}"/>
            </c:ext>
          </c:extLst>
        </c:ser>
        <c:ser>
          <c:idx val="11"/>
          <c:order val="11"/>
          <c:tx>
            <c:strRef>
              <c:f>EM_total_유기물형광지표!$B$9</c:f>
              <c:strCache>
                <c:ptCount val="1"/>
                <c:pt idx="0">
                  <c:v>Plants-24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rgbClr val="00B05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EM_total_유기물형광지표!$E$9:$E$12</c:f>
              <c:numCache>
                <c:formatCode>0.00_ </c:formatCode>
                <c:ptCount val="4"/>
                <c:pt idx="0">
                  <c:v>18.253259</c:v>
                </c:pt>
                <c:pt idx="1">
                  <c:v>15.894565</c:v>
                </c:pt>
                <c:pt idx="2">
                  <c:v>15.673439999999999</c:v>
                </c:pt>
                <c:pt idx="3">
                  <c:v>12.957406000000001</c:v>
                </c:pt>
              </c:numCache>
            </c:numRef>
          </c:xVal>
          <c:yVal>
            <c:numRef>
              <c:f>EM_total_유기물형광지표!$G$9:$G$12</c:f>
              <c:numCache>
                <c:formatCode>0.00_ </c:formatCode>
                <c:ptCount val="4"/>
                <c:pt idx="0">
                  <c:v>1.2474521999999999</c:v>
                </c:pt>
                <c:pt idx="1">
                  <c:v>1.2979887999999999</c:v>
                </c:pt>
                <c:pt idx="2">
                  <c:v>1.2137967000000001</c:v>
                </c:pt>
                <c:pt idx="3">
                  <c:v>1.3070550000000001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3BD-45CF-BA0B-1EBF494D9A4E}"/>
            </c:ext>
          </c:extLst>
        </c:ser>
        <c:ser>
          <c:idx val="12"/>
          <c:order val="12"/>
          <c:tx>
            <c:strRef>
              <c:f>EM_total_유기물형광지표!$B$13</c:f>
              <c:strCache>
                <c:ptCount val="1"/>
                <c:pt idx="0">
                  <c:v>Alage-25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92D05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EM_total_유기물형광지표!$E$13:$E$16</c:f>
              <c:numCache>
                <c:formatCode>0.00_ </c:formatCode>
                <c:ptCount val="4"/>
                <c:pt idx="0">
                  <c:v>2.9537789999999999</c:v>
                </c:pt>
                <c:pt idx="1">
                  <c:v>10.676766000000001</c:v>
                </c:pt>
                <c:pt idx="2">
                  <c:v>3.8646913000000001</c:v>
                </c:pt>
                <c:pt idx="3">
                  <c:v>3.7434799000000001</c:v>
                </c:pt>
              </c:numCache>
            </c:numRef>
          </c:xVal>
          <c:yVal>
            <c:numRef>
              <c:f>EM_total_유기물형광지표!$G$13:$G$16</c:f>
              <c:numCache>
                <c:formatCode>0.00_ </c:formatCode>
                <c:ptCount val="4"/>
                <c:pt idx="0">
                  <c:v>1.2585497000000001</c:v>
                </c:pt>
                <c:pt idx="1">
                  <c:v>1.1585510000000001</c:v>
                </c:pt>
                <c:pt idx="2">
                  <c:v>1.0877029</c:v>
                </c:pt>
                <c:pt idx="3">
                  <c:v>1.0939308000000001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F3BD-45CF-BA0B-1EBF494D9A4E}"/>
            </c:ext>
          </c:extLst>
        </c:ser>
        <c:ser>
          <c:idx val="13"/>
          <c:order val="13"/>
          <c:tx>
            <c:strRef>
              <c:f>EM_total_유기물형광지표!$B$17</c:f>
              <c:strCache>
                <c:ptCount val="1"/>
                <c:pt idx="0">
                  <c:v>Alage-24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rgbClr val="92D05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EM_total_유기물형광지표!$E$17:$E$23</c:f>
              <c:numCache>
                <c:formatCode>0.00_ </c:formatCode>
                <c:ptCount val="7"/>
                <c:pt idx="0">
                  <c:v>7.5397732</c:v>
                </c:pt>
                <c:pt idx="1">
                  <c:v>10.8985</c:v>
                </c:pt>
                <c:pt idx="2">
                  <c:v>5.4716737000000002</c:v>
                </c:pt>
                <c:pt idx="3">
                  <c:v>11.120661</c:v>
                </c:pt>
                <c:pt idx="4">
                  <c:v>3.4161260000000002</c:v>
                </c:pt>
                <c:pt idx="5">
                  <c:v>19.154025000000001</c:v>
                </c:pt>
                <c:pt idx="6">
                  <c:v>6.8927538999999998</c:v>
                </c:pt>
              </c:numCache>
            </c:numRef>
          </c:xVal>
          <c:yVal>
            <c:numRef>
              <c:f>EM_total_유기물형광지표!$G$17:$G$23</c:f>
              <c:numCache>
                <c:formatCode>0.00_ </c:formatCode>
                <c:ptCount val="7"/>
                <c:pt idx="0">
                  <c:v>1.4602349999999999</c:v>
                </c:pt>
                <c:pt idx="1">
                  <c:v>1.3749370000000001</c:v>
                </c:pt>
                <c:pt idx="2">
                  <c:v>1.5395901000000001</c:v>
                </c:pt>
                <c:pt idx="3">
                  <c:v>1.3940493</c:v>
                </c:pt>
                <c:pt idx="4">
                  <c:v>1.3658755</c:v>
                </c:pt>
                <c:pt idx="5">
                  <c:v>1.3888729</c:v>
                </c:pt>
                <c:pt idx="6">
                  <c:v>1.3366442999999999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F3BD-45CF-BA0B-1EBF494D9A4E}"/>
            </c:ext>
          </c:extLst>
        </c:ser>
        <c:ser>
          <c:idx val="14"/>
          <c:order val="14"/>
          <c:tx>
            <c:strRef>
              <c:f>EM_total_유기물형광지표!$B$24</c:f>
              <c:strCache>
                <c:ptCount val="1"/>
                <c:pt idx="0">
                  <c:v>Compost-25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bg2">
                  <a:lumMod val="50000"/>
                </a:schemeClr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EM_total_유기물형광지표!$E$24:$E$28</c:f>
              <c:numCache>
                <c:formatCode>0.00_ </c:formatCode>
                <c:ptCount val="5"/>
                <c:pt idx="0">
                  <c:v>63.734005000000003</c:v>
                </c:pt>
                <c:pt idx="1">
                  <c:v>79.314628999999996</c:v>
                </c:pt>
                <c:pt idx="2">
                  <c:v>56.9377</c:v>
                </c:pt>
                <c:pt idx="3">
                  <c:v>13.699883</c:v>
                </c:pt>
                <c:pt idx="4" formatCode="0.00">
                  <c:v>48.711221999999999</c:v>
                </c:pt>
              </c:numCache>
            </c:numRef>
          </c:xVal>
          <c:yVal>
            <c:numRef>
              <c:f>EM_total_유기물형광지표!$G$24:$G$28</c:f>
              <c:numCache>
                <c:formatCode>0.00_ </c:formatCode>
                <c:ptCount val="5"/>
                <c:pt idx="0">
                  <c:v>1.0194175999999999</c:v>
                </c:pt>
                <c:pt idx="1">
                  <c:v>1.1583357000000001</c:v>
                </c:pt>
                <c:pt idx="2">
                  <c:v>1.0643672</c:v>
                </c:pt>
                <c:pt idx="3">
                  <c:v>0.67291367999999996</c:v>
                </c:pt>
                <c:pt idx="4" formatCode="0.00">
                  <c:v>0.82384173000000005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F3BD-45CF-BA0B-1EBF494D9A4E}"/>
            </c:ext>
          </c:extLst>
        </c:ser>
        <c:ser>
          <c:idx val="15"/>
          <c:order val="15"/>
          <c:tx>
            <c:strRef>
              <c:f>EM_total_유기물형광지표!$B$29</c:f>
              <c:strCache>
                <c:ptCount val="1"/>
                <c:pt idx="0">
                  <c:v>Compost-24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chemeClr val="bg2">
                  <a:lumMod val="50000"/>
                </a:schemeClr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EM_total_유기물형광지표!$E$29:$E$30</c:f>
              <c:numCache>
                <c:formatCode>0.00_ </c:formatCode>
                <c:ptCount val="2"/>
                <c:pt idx="0">
                  <c:v>13.837702</c:v>
                </c:pt>
                <c:pt idx="1">
                  <c:v>2.8329843000000001</c:v>
                </c:pt>
              </c:numCache>
            </c:numRef>
          </c:xVal>
          <c:yVal>
            <c:numRef>
              <c:f>EM_total_유기물형광지표!$G$29:$G$30</c:f>
              <c:numCache>
                <c:formatCode>General</c:formatCode>
                <c:ptCount val="2"/>
                <c:pt idx="0" formatCode="0.00_ ">
                  <c:v>0.90452336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F3BD-45CF-BA0B-1EBF494D9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8789552"/>
        <c:axId val="728790992"/>
      </c:scatterChart>
      <c:valAx>
        <c:axId val="728789552"/>
        <c:scaling>
          <c:orientation val="minMax"/>
          <c:max val="3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KoPub돋움체 Bold" panose="00000800000000000000" pitchFamily="2" charset="-127"/>
                    <a:ea typeface="KoPub돋움체 Bold" panose="00000800000000000000" pitchFamily="2" charset="-127"/>
                    <a:cs typeface="+mn-cs"/>
                  </a:defRPr>
                </a:pPr>
                <a:r>
                  <a:rPr lang="en-US" altLang="ko-KR"/>
                  <a:t>HIX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0.42799263487441486"/>
              <c:y val="0.932056329497274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KoPub돋움체 Bold" panose="00000800000000000000" pitchFamily="2" charset="-127"/>
                  <a:ea typeface="KoPub돋움체 Bold" panose="00000800000000000000" pitchFamily="2" charset="-127"/>
                  <a:cs typeface="+mn-cs"/>
                </a:defRPr>
              </a:pPr>
              <a:endParaRPr lang="ko-KR"/>
            </a:p>
          </c:txPr>
        </c:title>
        <c:numFmt formatCode="0.00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KoPub돋움체 Bold" panose="00000800000000000000" pitchFamily="2" charset="-127"/>
                <a:ea typeface="KoPub돋움체 Bold" panose="00000800000000000000" pitchFamily="2" charset="-127"/>
                <a:cs typeface="+mn-cs"/>
              </a:defRPr>
            </a:pPr>
            <a:endParaRPr lang="ko-KR"/>
          </a:p>
        </c:txPr>
        <c:crossAx val="728790992"/>
        <c:crosses val="autoZero"/>
        <c:crossBetween val="midCat"/>
      </c:valAx>
      <c:valAx>
        <c:axId val="728790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KoPub돋움체 Bold" panose="00000800000000000000" pitchFamily="2" charset="-127"/>
                    <a:ea typeface="KoPub돋움체 Bold" panose="00000800000000000000" pitchFamily="2" charset="-127"/>
                    <a:cs typeface="+mn-cs"/>
                  </a:defRPr>
                </a:pPr>
                <a:r>
                  <a:rPr lang="en-US" altLang="ko-KR"/>
                  <a:t>FI</a:t>
                </a:r>
                <a:endParaRPr lang="ko-KR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KoPub돋움체 Bold" panose="00000800000000000000" pitchFamily="2" charset="-127"/>
                  <a:ea typeface="KoPub돋움체 Bold" panose="00000800000000000000" pitchFamily="2" charset="-127"/>
                  <a:cs typeface="+mn-cs"/>
                </a:defRPr>
              </a:pPr>
              <a:endParaRPr lang="ko-K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KoPub돋움체 Bold" panose="00000800000000000000" pitchFamily="2" charset="-127"/>
                <a:ea typeface="KoPub돋움체 Bold" panose="00000800000000000000" pitchFamily="2" charset="-127"/>
                <a:cs typeface="+mn-cs"/>
              </a:defRPr>
            </a:pPr>
            <a:endParaRPr lang="ko-KR"/>
          </a:p>
        </c:txPr>
        <c:crossAx val="728789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894116372815647"/>
          <c:y val="5.6739971113078318E-2"/>
          <c:w val="0.21957520491903429"/>
          <c:h val="0.79609603114523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KoPub돋움체 Bold" panose="00000800000000000000" pitchFamily="2" charset="-127"/>
              <a:ea typeface="KoPub돋움체 Bold" panose="00000800000000000000" pitchFamily="2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KoPub돋움체 Bold" panose="00000800000000000000" pitchFamily="2" charset="-127"/>
          <a:ea typeface="KoPub돋움체 Bold" panose="00000800000000000000" pitchFamily="2" charset="-127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453078270300697E-2"/>
          <c:y val="3.7670409542002507E-2"/>
          <c:w val="0.6856330685002362"/>
          <c:h val="0.82979056981782617"/>
        </c:manualLayout>
      </c:layout>
      <c:scatterChart>
        <c:scatterStyle val="lineMarker"/>
        <c:varyColors val="0"/>
        <c:ser>
          <c:idx val="0"/>
          <c:order val="0"/>
          <c:tx>
            <c:strRef>
              <c:f>EM_total_유기물형광지표!$B$33</c:f>
              <c:strCache>
                <c:ptCount val="1"/>
                <c:pt idx="0">
                  <c:v>Soil-25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C0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EM_total_유기물형광지표!$F$33:$F$54</c:f>
              <c:numCache>
                <c:formatCode>0.00</c:formatCode>
                <c:ptCount val="22"/>
                <c:pt idx="0">
                  <c:v>0.52457611999999998</c:v>
                </c:pt>
                <c:pt idx="1">
                  <c:v>0.81727892000000002</c:v>
                </c:pt>
                <c:pt idx="2">
                  <c:v>0.61353095000000002</c:v>
                </c:pt>
                <c:pt idx="3">
                  <c:v>0.65758879000000003</c:v>
                </c:pt>
                <c:pt idx="4">
                  <c:v>0.58170237000000002</c:v>
                </c:pt>
                <c:pt idx="5">
                  <c:v>0.58404855</c:v>
                </c:pt>
                <c:pt idx="6">
                  <c:v>0.52470391999999999</c:v>
                </c:pt>
                <c:pt idx="7">
                  <c:v>0.54793464000000003</c:v>
                </c:pt>
                <c:pt idx="8">
                  <c:v>0.49994714000000001</c:v>
                </c:pt>
                <c:pt idx="9">
                  <c:v>0.63941674999999998</c:v>
                </c:pt>
                <c:pt idx="10">
                  <c:v>0.52299496999999995</c:v>
                </c:pt>
                <c:pt idx="11">
                  <c:v>0.53973015999999996</c:v>
                </c:pt>
                <c:pt idx="12">
                  <c:v>0.57185202000000002</c:v>
                </c:pt>
                <c:pt idx="13">
                  <c:v>0.59341719999999998</c:v>
                </c:pt>
                <c:pt idx="14">
                  <c:v>1.0334368</c:v>
                </c:pt>
                <c:pt idx="15">
                  <c:v>0.66716489999999995</c:v>
                </c:pt>
                <c:pt idx="16">
                  <c:v>0.48866626000000002</c:v>
                </c:pt>
                <c:pt idx="17">
                  <c:v>0.55226823000000003</c:v>
                </c:pt>
                <c:pt idx="18">
                  <c:v>0.43838036000000002</c:v>
                </c:pt>
                <c:pt idx="19">
                  <c:v>0.50746172000000001</c:v>
                </c:pt>
                <c:pt idx="20">
                  <c:v>0.66397598999999996</c:v>
                </c:pt>
                <c:pt idx="21">
                  <c:v>0.57891486999999997</c:v>
                </c:pt>
              </c:numCache>
            </c:numRef>
          </c:xVal>
          <c:yVal>
            <c:numRef>
              <c:f>EM_total_유기물형광지표!$G$33:$G$54</c:f>
              <c:numCache>
                <c:formatCode>General</c:formatCode>
                <c:ptCount val="22"/>
                <c:pt idx="0" formatCode="0.00">
                  <c:v>1.1389050000000001</c:v>
                </c:pt>
                <c:pt idx="2" formatCode="0.00">
                  <c:v>1.1658522</c:v>
                </c:pt>
                <c:pt idx="3" formatCode="0.00">
                  <c:v>1.2896307</c:v>
                </c:pt>
                <c:pt idx="4" formatCode="0.00">
                  <c:v>1.2419627</c:v>
                </c:pt>
                <c:pt idx="5" formatCode="0.00">
                  <c:v>1.2383124999999999</c:v>
                </c:pt>
                <c:pt idx="6" formatCode="0.00">
                  <c:v>1.1680168</c:v>
                </c:pt>
                <c:pt idx="7" formatCode="0.00">
                  <c:v>1.2595050000000001</c:v>
                </c:pt>
                <c:pt idx="8" formatCode="0.00">
                  <c:v>1.1141143</c:v>
                </c:pt>
                <c:pt idx="9" formatCode="0.00">
                  <c:v>1.2906054</c:v>
                </c:pt>
                <c:pt idx="10" formatCode="0.00">
                  <c:v>1.1679872</c:v>
                </c:pt>
                <c:pt idx="11" formatCode="0.00">
                  <c:v>1.2110197</c:v>
                </c:pt>
                <c:pt idx="12" formatCode="0.00">
                  <c:v>1.1939017999999999</c:v>
                </c:pt>
                <c:pt idx="13" formatCode="0.00">
                  <c:v>1.2703684</c:v>
                </c:pt>
                <c:pt idx="15" formatCode="0.00">
                  <c:v>1.3474322000000001</c:v>
                </c:pt>
                <c:pt idx="16" formatCode="0.00">
                  <c:v>1.1404590999999999</c:v>
                </c:pt>
                <c:pt idx="17" formatCode="0.00">
                  <c:v>1.2074729</c:v>
                </c:pt>
                <c:pt idx="18" formatCode="0.00">
                  <c:v>1.1205012999999999</c:v>
                </c:pt>
                <c:pt idx="19" formatCode="0.00">
                  <c:v>1.1938092</c:v>
                </c:pt>
                <c:pt idx="20" formatCode="0.00">
                  <c:v>1.3825225999999999</c:v>
                </c:pt>
                <c:pt idx="21" formatCode="0.00">
                  <c:v>1.2055952999999999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8E-4ED4-A4FC-8A4B54AF353C}"/>
            </c:ext>
          </c:extLst>
        </c:ser>
        <c:ser>
          <c:idx val="1"/>
          <c:order val="1"/>
          <c:tx>
            <c:strRef>
              <c:f>EM_total_유기물형광지표!$B$55</c:f>
              <c:strCache>
                <c:ptCount val="1"/>
                <c:pt idx="0">
                  <c:v>Soil-24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rgbClr val="C0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EM_total_유기물형광지표!$F$55:$F$73</c:f>
              <c:numCache>
                <c:formatCode>0.00</c:formatCode>
                <c:ptCount val="19"/>
                <c:pt idx="0">
                  <c:v>0.67759767999999998</c:v>
                </c:pt>
                <c:pt idx="1">
                  <c:v>0.54516673999999998</c:v>
                </c:pt>
                <c:pt idx="2">
                  <c:v>0.64617754999999999</c:v>
                </c:pt>
                <c:pt idx="3">
                  <c:v>0.53042626999999998</c:v>
                </c:pt>
                <c:pt idx="4">
                  <c:v>0.62658780999999997</c:v>
                </c:pt>
                <c:pt idx="5">
                  <c:v>0.66664743000000004</c:v>
                </c:pt>
                <c:pt idx="6">
                  <c:v>0.57963251000000005</c:v>
                </c:pt>
                <c:pt idx="7">
                  <c:v>0.62148999000000005</c:v>
                </c:pt>
                <c:pt idx="8">
                  <c:v>0.73918561999999999</c:v>
                </c:pt>
                <c:pt idx="9">
                  <c:v>0.67806681999999996</c:v>
                </c:pt>
                <c:pt idx="10">
                  <c:v>0.64439422000000002</c:v>
                </c:pt>
                <c:pt idx="11">
                  <c:v>0.58166293999999996</c:v>
                </c:pt>
                <c:pt idx="12">
                  <c:v>0.80445290000000003</c:v>
                </c:pt>
                <c:pt idx="13">
                  <c:v>0.66997894999999996</c:v>
                </c:pt>
                <c:pt idx="14">
                  <c:v>0.4070453</c:v>
                </c:pt>
                <c:pt idx="15">
                  <c:v>0.47329740999999997</c:v>
                </c:pt>
                <c:pt idx="16">
                  <c:v>0.41013918999999999</c:v>
                </c:pt>
                <c:pt idx="17">
                  <c:v>0.44111872000000002</c:v>
                </c:pt>
                <c:pt idx="18">
                  <c:v>0.60338687000000002</c:v>
                </c:pt>
              </c:numCache>
            </c:numRef>
          </c:xVal>
          <c:yVal>
            <c:numRef>
              <c:f>EM_total_유기물형광지표!$G$55:$G$73</c:f>
              <c:numCache>
                <c:formatCode>0.00</c:formatCode>
                <c:ptCount val="19"/>
                <c:pt idx="0">
                  <c:v>1.3672419</c:v>
                </c:pt>
                <c:pt idx="1">
                  <c:v>1.2168981999999999</c:v>
                </c:pt>
                <c:pt idx="2">
                  <c:v>1.2991196</c:v>
                </c:pt>
                <c:pt idx="3">
                  <c:v>1.2029145999999999</c:v>
                </c:pt>
                <c:pt idx="4">
                  <c:v>1.2702434</c:v>
                </c:pt>
                <c:pt idx="5">
                  <c:v>1.3213185000000001</c:v>
                </c:pt>
                <c:pt idx="6">
                  <c:v>1.2683205</c:v>
                </c:pt>
                <c:pt idx="7">
                  <c:v>1.2475295</c:v>
                </c:pt>
                <c:pt idx="9">
                  <c:v>1.3522186</c:v>
                </c:pt>
                <c:pt idx="10">
                  <c:v>1.3306944000000001</c:v>
                </c:pt>
                <c:pt idx="11">
                  <c:v>1.2001599000000001</c:v>
                </c:pt>
                <c:pt idx="13">
                  <c:v>1.3106876000000001</c:v>
                </c:pt>
                <c:pt idx="18">
                  <c:v>1.2379784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58E-4ED4-A4FC-8A4B54AF353C}"/>
            </c:ext>
          </c:extLst>
        </c:ser>
        <c:ser>
          <c:idx val="2"/>
          <c:order val="2"/>
          <c:tx>
            <c:strRef>
              <c:f>EM_total_유기물형광지표!$B$75</c:f>
              <c:strCache>
                <c:ptCount val="1"/>
                <c:pt idx="0">
                  <c:v>Effluent-25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4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EM_total_유기물형광지표!$F$75:$F$87</c:f>
              <c:numCache>
                <c:formatCode>0.00</c:formatCode>
                <c:ptCount val="13"/>
                <c:pt idx="0">
                  <c:v>0.69962745999999998</c:v>
                </c:pt>
                <c:pt idx="1">
                  <c:v>0.70857477000000002</c:v>
                </c:pt>
                <c:pt idx="2">
                  <c:v>0.85454545000000004</c:v>
                </c:pt>
                <c:pt idx="3">
                  <c:v>0.73598697000000002</c:v>
                </c:pt>
                <c:pt idx="4">
                  <c:v>0.72820821000000002</c:v>
                </c:pt>
                <c:pt idx="5">
                  <c:v>0.92959597000000005</c:v>
                </c:pt>
                <c:pt idx="6">
                  <c:v>0.76689249999999998</c:v>
                </c:pt>
                <c:pt idx="7">
                  <c:v>0.75465125</c:v>
                </c:pt>
                <c:pt idx="8">
                  <c:v>0.69863005</c:v>
                </c:pt>
                <c:pt idx="9">
                  <c:v>0.73464337000000002</c:v>
                </c:pt>
                <c:pt idx="10">
                  <c:v>0.70999155000000003</c:v>
                </c:pt>
                <c:pt idx="11">
                  <c:v>0.90055923000000004</c:v>
                </c:pt>
                <c:pt idx="12">
                  <c:v>0.58422556000000003</c:v>
                </c:pt>
              </c:numCache>
            </c:numRef>
          </c:xVal>
          <c:yVal>
            <c:numRef>
              <c:f>EM_total_유기물형광지표!$G$75:$G$87</c:f>
              <c:numCache>
                <c:formatCode>0.00</c:formatCode>
                <c:ptCount val="13"/>
                <c:pt idx="0">
                  <c:v>1.2337575999999999</c:v>
                </c:pt>
                <c:pt idx="1">
                  <c:v>1.2931969000000001</c:v>
                </c:pt>
                <c:pt idx="3">
                  <c:v>1.3409952000000001</c:v>
                </c:pt>
                <c:pt idx="4">
                  <c:v>1.2573721</c:v>
                </c:pt>
                <c:pt idx="5">
                  <c:v>1.4216845</c:v>
                </c:pt>
                <c:pt idx="6">
                  <c:v>1.3606240000000001</c:v>
                </c:pt>
                <c:pt idx="7">
                  <c:v>1.3601688999999999</c:v>
                </c:pt>
                <c:pt idx="8">
                  <c:v>1.3424472999999999</c:v>
                </c:pt>
                <c:pt idx="9">
                  <c:v>1.3210763000000001</c:v>
                </c:pt>
                <c:pt idx="10">
                  <c:v>1.3099749999999999</c:v>
                </c:pt>
                <c:pt idx="11">
                  <c:v>1.3676060000000001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58E-4ED4-A4FC-8A4B54AF353C}"/>
            </c:ext>
          </c:extLst>
        </c:ser>
        <c:ser>
          <c:idx val="3"/>
          <c:order val="3"/>
          <c:tx>
            <c:strRef>
              <c:f>EM_total_유기물형광지표!$B$88</c:f>
              <c:strCache>
                <c:ptCount val="1"/>
                <c:pt idx="0">
                  <c:v>Effluent-24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chemeClr val="accent4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EM_total_유기물형광지표!$F$88:$F$92</c:f>
              <c:numCache>
                <c:formatCode>0.00</c:formatCode>
                <c:ptCount val="5"/>
                <c:pt idx="0">
                  <c:v>0.70751662999999998</c:v>
                </c:pt>
                <c:pt idx="1">
                  <c:v>0.69678355999999997</c:v>
                </c:pt>
                <c:pt idx="2">
                  <c:v>0.81</c:v>
                </c:pt>
                <c:pt idx="3">
                  <c:v>0.74504457999999996</c:v>
                </c:pt>
                <c:pt idx="4">
                  <c:v>0.73318718999999999</c:v>
                </c:pt>
              </c:numCache>
            </c:numRef>
          </c:xVal>
          <c:yVal>
            <c:numRef>
              <c:f>EM_total_유기물형광지표!$G$88:$G$92</c:f>
              <c:numCache>
                <c:formatCode>0.00</c:formatCode>
                <c:ptCount val="5"/>
                <c:pt idx="0">
                  <c:v>1.3419743</c:v>
                </c:pt>
                <c:pt idx="1">
                  <c:v>1.3507718</c:v>
                </c:pt>
                <c:pt idx="2">
                  <c:v>1.33</c:v>
                </c:pt>
                <c:pt idx="3">
                  <c:v>1.2784743999999999</c:v>
                </c:pt>
                <c:pt idx="4">
                  <c:v>1.2976907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58E-4ED4-A4FC-8A4B54AF353C}"/>
            </c:ext>
          </c:extLst>
        </c:ser>
        <c:ser>
          <c:idx val="4"/>
          <c:order val="4"/>
          <c:tx>
            <c:strRef>
              <c:f>EM_total_유기물형광지표!$B$93</c:f>
              <c:strCache>
                <c:ptCount val="1"/>
                <c:pt idx="0">
                  <c:v>Sewage-25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0070C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EM_total_유기물형광지표!$F$93:$F$96</c:f>
              <c:numCache>
                <c:formatCode>0.00</c:formatCode>
                <c:ptCount val="4"/>
                <c:pt idx="0">
                  <c:v>1.2001085</c:v>
                </c:pt>
                <c:pt idx="1">
                  <c:v>1.213748</c:v>
                </c:pt>
                <c:pt idx="2">
                  <c:v>1.3605714</c:v>
                </c:pt>
                <c:pt idx="3">
                  <c:v>1.213748</c:v>
                </c:pt>
              </c:numCache>
            </c:numRef>
          </c:xVal>
          <c:yVal>
            <c:numRef>
              <c:f>EM_total_유기물형광지표!$G$93:$G$96</c:f>
              <c:numCache>
                <c:formatCode>0.00</c:formatCode>
                <c:ptCount val="4"/>
                <c:pt idx="0">
                  <c:v>1.6363198999999999</c:v>
                </c:pt>
                <c:pt idx="1">
                  <c:v>1.586244</c:v>
                </c:pt>
                <c:pt idx="2">
                  <c:v>1.5625167</c:v>
                </c:pt>
                <c:pt idx="3">
                  <c:v>1.586244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58E-4ED4-A4FC-8A4B54AF353C}"/>
            </c:ext>
          </c:extLst>
        </c:ser>
        <c:ser>
          <c:idx val="5"/>
          <c:order val="5"/>
          <c:tx>
            <c:strRef>
              <c:f>EM_total_유기물형광지표!$B$97</c:f>
              <c:strCache>
                <c:ptCount val="1"/>
                <c:pt idx="0">
                  <c:v>Sewage-24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rgbClr val="0070C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EM_total_유기물형광지표!$F$97:$F$115</c:f>
              <c:numCache>
                <c:formatCode>0.00</c:formatCode>
                <c:ptCount val="19"/>
                <c:pt idx="0">
                  <c:v>1.0878205000000001</c:v>
                </c:pt>
                <c:pt idx="1">
                  <c:v>1.0619810000000001</c:v>
                </c:pt>
                <c:pt idx="2">
                  <c:v>1.1160378</c:v>
                </c:pt>
                <c:pt idx="3">
                  <c:v>1.2237909</c:v>
                </c:pt>
                <c:pt idx="4">
                  <c:v>1.1088718</c:v>
                </c:pt>
                <c:pt idx="5">
                  <c:v>1.018926</c:v>
                </c:pt>
                <c:pt idx="6">
                  <c:v>1.0299684</c:v>
                </c:pt>
                <c:pt idx="7">
                  <c:v>1.0100643</c:v>
                </c:pt>
                <c:pt idx="8">
                  <c:v>1.0534678</c:v>
                </c:pt>
                <c:pt idx="9">
                  <c:v>1.0926715</c:v>
                </c:pt>
                <c:pt idx="10">
                  <c:v>0.92182122</c:v>
                </c:pt>
                <c:pt idx="11" formatCode="0.00_ ">
                  <c:v>1.4081307000000001</c:v>
                </c:pt>
                <c:pt idx="12" formatCode="0.00_ ">
                  <c:v>1.5254558</c:v>
                </c:pt>
                <c:pt idx="13" formatCode="0.00_ ">
                  <c:v>1.120441</c:v>
                </c:pt>
                <c:pt idx="14" formatCode="0.00_ ">
                  <c:v>1.2820104999999999</c:v>
                </c:pt>
                <c:pt idx="15" formatCode="0.00_ ">
                  <c:v>1.3164754000000001</c:v>
                </c:pt>
                <c:pt idx="16" formatCode="0.00_ ">
                  <c:v>1.3179102</c:v>
                </c:pt>
                <c:pt idx="17" formatCode="0.00_ ">
                  <c:v>1.2843937000000001</c:v>
                </c:pt>
                <c:pt idx="18" formatCode="0.00_ ">
                  <c:v>1.0758078</c:v>
                </c:pt>
              </c:numCache>
            </c:numRef>
          </c:xVal>
          <c:yVal>
            <c:numRef>
              <c:f>EM_total_유기물형광지표!$G$97:$G$115</c:f>
              <c:numCache>
                <c:formatCode>0.00</c:formatCode>
                <c:ptCount val="19"/>
                <c:pt idx="0">
                  <c:v>1.5689841</c:v>
                </c:pt>
                <c:pt idx="1">
                  <c:v>1.4963291999999999</c:v>
                </c:pt>
                <c:pt idx="2">
                  <c:v>1.5028785</c:v>
                </c:pt>
                <c:pt idx="3">
                  <c:v>1.5051988999999999</c:v>
                </c:pt>
                <c:pt idx="4">
                  <c:v>1.5697958000000001</c:v>
                </c:pt>
                <c:pt idx="5">
                  <c:v>1.5482205</c:v>
                </c:pt>
                <c:pt idx="6">
                  <c:v>1.5199166</c:v>
                </c:pt>
                <c:pt idx="7">
                  <c:v>1.4914305000000001</c:v>
                </c:pt>
                <c:pt idx="8">
                  <c:v>1.5458483999999999</c:v>
                </c:pt>
                <c:pt idx="9">
                  <c:v>1.5037609999999999</c:v>
                </c:pt>
                <c:pt idx="11" formatCode="0.00_ ">
                  <c:v>1.6120125999999999</c:v>
                </c:pt>
                <c:pt idx="13" formatCode="0.00_ ">
                  <c:v>1.6853969</c:v>
                </c:pt>
                <c:pt idx="14" formatCode="0.00_ ">
                  <c:v>1.5806909</c:v>
                </c:pt>
                <c:pt idx="15" formatCode="0.00_ ">
                  <c:v>1.5301155</c:v>
                </c:pt>
                <c:pt idx="16" formatCode="0.00_ ">
                  <c:v>1.5418554</c:v>
                </c:pt>
                <c:pt idx="17" formatCode="0.00_ ">
                  <c:v>1.5859576</c:v>
                </c:pt>
                <c:pt idx="18" formatCode="0.00_ ">
                  <c:v>1.5560365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58E-4ED4-A4FC-8A4B54AF353C}"/>
            </c:ext>
          </c:extLst>
        </c:ser>
        <c:ser>
          <c:idx val="6"/>
          <c:order val="6"/>
          <c:tx>
            <c:strRef>
              <c:f>EM_total_유기물형광지표!$B$116</c:f>
              <c:strCache>
                <c:ptCount val="1"/>
                <c:pt idx="0">
                  <c:v>Groundwater-25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00B0F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EM_total_유기물형광지표!$F$116:$F$117</c:f>
              <c:numCache>
                <c:formatCode>0.00</c:formatCode>
                <c:ptCount val="2"/>
                <c:pt idx="0">
                  <c:v>1.1705015000000001</c:v>
                </c:pt>
                <c:pt idx="1">
                  <c:v>1.1685551999999999</c:v>
                </c:pt>
              </c:numCache>
            </c:numRef>
          </c:xVal>
          <c:yVal>
            <c:numRef>
              <c:f>EM_total_유기물형광지표!$G$116:$G$117</c:f>
              <c:numCache>
                <c:formatCode>0.00</c:formatCode>
                <c:ptCount val="2"/>
                <c:pt idx="0">
                  <c:v>2.2023035000000002</c:v>
                </c:pt>
                <c:pt idx="1">
                  <c:v>2.2803138000000001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58E-4ED4-A4FC-8A4B54AF353C}"/>
            </c:ext>
          </c:extLst>
        </c:ser>
        <c:ser>
          <c:idx val="8"/>
          <c:order val="7"/>
          <c:tx>
            <c:strRef>
              <c:f>EM_total_유기물형광지표!$B$2</c:f>
              <c:strCache>
                <c:ptCount val="1"/>
                <c:pt idx="0">
                  <c:v>Leaves-25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7030A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EM_total_유기물형광지표!$F$2:$F$3</c:f>
              <c:numCache>
                <c:formatCode>0.00_ </c:formatCode>
                <c:ptCount val="2"/>
                <c:pt idx="0">
                  <c:v>5.6856187000000002E-2</c:v>
                </c:pt>
                <c:pt idx="1">
                  <c:v>5.0903120000000003E-2</c:v>
                </c:pt>
              </c:numCache>
            </c:numRef>
          </c:xVal>
          <c:yVal>
            <c:numRef>
              <c:f>EM_total_유기물형광지표!$G$2:$G$3</c:f>
              <c:numCache>
                <c:formatCode>0.00_ </c:formatCode>
                <c:ptCount val="2"/>
                <c:pt idx="0">
                  <c:v>0.41214858999999998</c:v>
                </c:pt>
                <c:pt idx="1">
                  <c:v>0.65042889999999998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58E-4ED4-A4FC-8A4B54AF353C}"/>
            </c:ext>
          </c:extLst>
        </c:ser>
        <c:ser>
          <c:idx val="9"/>
          <c:order val="8"/>
          <c:tx>
            <c:strRef>
              <c:f>EM_total_유기물형광지표!$B$5</c:f>
              <c:strCache>
                <c:ptCount val="1"/>
                <c:pt idx="0">
                  <c:v>Leaves-24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rgbClr val="7030A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EM_total_유기물형광지표!$F$5:$F$7</c:f>
              <c:numCache>
                <c:formatCode>0.00_ </c:formatCode>
                <c:ptCount val="3"/>
                <c:pt idx="0">
                  <c:v>7.1345029000000004E-2</c:v>
                </c:pt>
                <c:pt idx="1">
                  <c:v>0.19117646999999999</c:v>
                </c:pt>
                <c:pt idx="2">
                  <c:v>9.1056911000000004E-2</c:v>
                </c:pt>
              </c:numCache>
            </c:numRef>
          </c:xVal>
          <c:yVal>
            <c:numRef>
              <c:f>EM_total_유기물형광지표!$G$5:$G$7</c:f>
              <c:numCache>
                <c:formatCode>0.00_ </c:formatCode>
                <c:ptCount val="3"/>
                <c:pt idx="0">
                  <c:v>0.54322497000000003</c:v>
                </c:pt>
                <c:pt idx="1">
                  <c:v>0.33122484000000002</c:v>
                </c:pt>
                <c:pt idx="2">
                  <c:v>0.49982269000000001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58E-4ED4-A4FC-8A4B54AF353C}"/>
            </c:ext>
          </c:extLst>
        </c:ser>
        <c:ser>
          <c:idx val="10"/>
          <c:order val="9"/>
          <c:tx>
            <c:strRef>
              <c:f>EM_total_유기물형광지표!$B$8</c:f>
              <c:strCache>
                <c:ptCount val="1"/>
                <c:pt idx="0">
                  <c:v>Plants-25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00B05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EM_total_유기물형광지표!$F$8</c:f>
              <c:numCache>
                <c:formatCode>0.00_ </c:formatCode>
                <c:ptCount val="1"/>
                <c:pt idx="0">
                  <c:v>9.8453283000000003E-2</c:v>
                </c:pt>
              </c:numCache>
            </c:numRef>
          </c:xVal>
          <c:yVal>
            <c:numRef>
              <c:f>EM_total_유기물형광지표!$G$8</c:f>
              <c:numCache>
                <c:formatCode>0.00_ </c:formatCode>
                <c:ptCount val="1"/>
                <c:pt idx="0">
                  <c:v>1.2069160000000001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258E-4ED4-A4FC-8A4B54AF353C}"/>
            </c:ext>
          </c:extLst>
        </c:ser>
        <c:ser>
          <c:idx val="11"/>
          <c:order val="10"/>
          <c:tx>
            <c:strRef>
              <c:f>EM_total_유기물형광지표!$B$9</c:f>
              <c:strCache>
                <c:ptCount val="1"/>
                <c:pt idx="0">
                  <c:v>Plants-24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rgbClr val="00B05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EM_total_유기물형광지표!$F$9:$F$12</c:f>
              <c:numCache>
                <c:formatCode>0.00_ </c:formatCode>
                <c:ptCount val="4"/>
                <c:pt idx="0">
                  <c:v>2.4608501000000001E-2</c:v>
                </c:pt>
                <c:pt idx="1">
                  <c:v>9.6138514999999994E-2</c:v>
                </c:pt>
                <c:pt idx="2">
                  <c:v>4.3949305000000001E-2</c:v>
                </c:pt>
                <c:pt idx="3">
                  <c:v>8.4940796999999998E-2</c:v>
                </c:pt>
              </c:numCache>
            </c:numRef>
          </c:xVal>
          <c:yVal>
            <c:numRef>
              <c:f>EM_total_유기물형광지표!$G$9:$G$12</c:f>
              <c:numCache>
                <c:formatCode>0.00_ </c:formatCode>
                <c:ptCount val="4"/>
                <c:pt idx="0">
                  <c:v>1.2474521999999999</c:v>
                </c:pt>
                <c:pt idx="1">
                  <c:v>1.2979887999999999</c:v>
                </c:pt>
                <c:pt idx="2">
                  <c:v>1.2137967000000001</c:v>
                </c:pt>
                <c:pt idx="3">
                  <c:v>1.3070550000000001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58E-4ED4-A4FC-8A4B54AF353C}"/>
            </c:ext>
          </c:extLst>
        </c:ser>
        <c:ser>
          <c:idx val="13"/>
          <c:order val="11"/>
          <c:tx>
            <c:strRef>
              <c:f>EM_total_유기물형광지표!$B$17</c:f>
              <c:strCache>
                <c:ptCount val="1"/>
                <c:pt idx="0">
                  <c:v>Alage-24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rgbClr val="92D05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EM_total_유기물형광지표!$F$17:$F$23</c:f>
              <c:numCache>
                <c:formatCode>0.00_ </c:formatCode>
                <c:ptCount val="7"/>
                <c:pt idx="0">
                  <c:v>0.66253231999999995</c:v>
                </c:pt>
                <c:pt idx="1">
                  <c:v>0.65909817999999998</c:v>
                </c:pt>
                <c:pt idx="2">
                  <c:v>0.69011096999999999</c:v>
                </c:pt>
                <c:pt idx="3">
                  <c:v>0.74876264000000003</c:v>
                </c:pt>
                <c:pt idx="4">
                  <c:v>0.54622367999999999</c:v>
                </c:pt>
                <c:pt idx="5">
                  <c:v>0.59125532999999997</c:v>
                </c:pt>
                <c:pt idx="6">
                  <c:v>0.58740621999999998</c:v>
                </c:pt>
              </c:numCache>
            </c:numRef>
          </c:xVal>
          <c:yVal>
            <c:numRef>
              <c:f>EM_total_유기물형광지표!$G$17:$G$23</c:f>
              <c:numCache>
                <c:formatCode>0.00_ </c:formatCode>
                <c:ptCount val="7"/>
                <c:pt idx="0">
                  <c:v>1.4602349999999999</c:v>
                </c:pt>
                <c:pt idx="1">
                  <c:v>1.3749370000000001</c:v>
                </c:pt>
                <c:pt idx="2">
                  <c:v>1.5395901000000001</c:v>
                </c:pt>
                <c:pt idx="3">
                  <c:v>1.3940493</c:v>
                </c:pt>
                <c:pt idx="4">
                  <c:v>1.3658755</c:v>
                </c:pt>
                <c:pt idx="5">
                  <c:v>1.3888729</c:v>
                </c:pt>
                <c:pt idx="6">
                  <c:v>1.3366442999999999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58E-4ED4-A4FC-8A4B54AF353C}"/>
            </c:ext>
          </c:extLst>
        </c:ser>
        <c:ser>
          <c:idx val="14"/>
          <c:order val="12"/>
          <c:tx>
            <c:strRef>
              <c:f>EM_total_유기물형광지표!$B$24</c:f>
              <c:strCache>
                <c:ptCount val="1"/>
                <c:pt idx="0">
                  <c:v>Compost-25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bg2">
                  <a:lumMod val="50000"/>
                </a:schemeClr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EM_total_유기물형광지표!$F$24:$F$28</c:f>
              <c:numCache>
                <c:formatCode>0.00_ </c:formatCode>
                <c:ptCount val="5"/>
                <c:pt idx="0">
                  <c:v>0.35724412</c:v>
                </c:pt>
                <c:pt idx="1">
                  <c:v>0.34919582999999998</c:v>
                </c:pt>
                <c:pt idx="2">
                  <c:v>0.38877618000000003</c:v>
                </c:pt>
                <c:pt idx="3">
                  <c:v>0.2264272</c:v>
                </c:pt>
                <c:pt idx="4" formatCode="0.00">
                  <c:v>0.25561518999999999</c:v>
                </c:pt>
              </c:numCache>
            </c:numRef>
          </c:xVal>
          <c:yVal>
            <c:numRef>
              <c:f>EM_total_유기물형광지표!$G$24:$G$28</c:f>
              <c:numCache>
                <c:formatCode>0.00_ </c:formatCode>
                <c:ptCount val="5"/>
                <c:pt idx="0">
                  <c:v>1.0194175999999999</c:v>
                </c:pt>
                <c:pt idx="1">
                  <c:v>1.1583357000000001</c:v>
                </c:pt>
                <c:pt idx="2">
                  <c:v>1.0643672</c:v>
                </c:pt>
                <c:pt idx="3">
                  <c:v>0.67291367999999996</c:v>
                </c:pt>
                <c:pt idx="4" formatCode="0.00">
                  <c:v>0.82384173000000005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58E-4ED4-A4FC-8A4B54AF353C}"/>
            </c:ext>
          </c:extLst>
        </c:ser>
        <c:ser>
          <c:idx val="15"/>
          <c:order val="13"/>
          <c:tx>
            <c:strRef>
              <c:f>EM_total_유기물형광지표!$B$29</c:f>
              <c:strCache>
                <c:ptCount val="1"/>
                <c:pt idx="0">
                  <c:v>Compost-24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chemeClr val="bg2">
                  <a:lumMod val="50000"/>
                </a:schemeClr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EM_total_유기물형광지표!$F$29</c:f>
              <c:numCache>
                <c:formatCode>0.00_ </c:formatCode>
                <c:ptCount val="1"/>
                <c:pt idx="0">
                  <c:v>0.40384852999999998</c:v>
                </c:pt>
              </c:numCache>
            </c:numRef>
          </c:xVal>
          <c:yVal>
            <c:numRef>
              <c:f>EM_total_유기물형광지표!$G$29</c:f>
              <c:numCache>
                <c:formatCode>0.00_ </c:formatCode>
                <c:ptCount val="1"/>
                <c:pt idx="0">
                  <c:v>0.90452336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258E-4ED4-A4FC-8A4B54AF35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8789552"/>
        <c:axId val="728790992"/>
      </c:scatterChart>
      <c:valAx>
        <c:axId val="728789552"/>
        <c:scaling>
          <c:orientation val="minMax"/>
          <c:max val="1.6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KoPub돋움체 Bold" panose="00000800000000000000" pitchFamily="2" charset="-127"/>
                    <a:ea typeface="KoPub돋움체 Bold" panose="00000800000000000000" pitchFamily="2" charset="-127"/>
                    <a:cs typeface="+mn-cs"/>
                  </a:defRPr>
                </a:pPr>
                <a:r>
                  <a:rPr lang="en-US" altLang="ko-KR"/>
                  <a:t>BIX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0.42799263487441486"/>
              <c:y val="0.932056329497274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KoPub돋움체 Bold" panose="00000800000000000000" pitchFamily="2" charset="-127"/>
                  <a:ea typeface="KoPub돋움체 Bold" panose="00000800000000000000" pitchFamily="2" charset="-127"/>
                  <a:cs typeface="+mn-cs"/>
                </a:defRPr>
              </a:pPr>
              <a:endParaRPr lang="ko-KR"/>
            </a:p>
          </c:txPr>
        </c:title>
        <c:numFmt formatCode="0.00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KoPub돋움체 Bold" panose="00000800000000000000" pitchFamily="2" charset="-127"/>
                <a:ea typeface="KoPub돋움체 Bold" panose="00000800000000000000" pitchFamily="2" charset="-127"/>
                <a:cs typeface="+mn-cs"/>
              </a:defRPr>
            </a:pPr>
            <a:endParaRPr lang="ko-KR"/>
          </a:p>
        </c:txPr>
        <c:crossAx val="728790992"/>
        <c:crosses val="autoZero"/>
        <c:crossBetween val="midCat"/>
        <c:majorUnit val="0.2"/>
      </c:valAx>
      <c:valAx>
        <c:axId val="728790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KoPub돋움체 Bold" panose="00000800000000000000" pitchFamily="2" charset="-127"/>
                    <a:ea typeface="KoPub돋움체 Bold" panose="00000800000000000000" pitchFamily="2" charset="-127"/>
                    <a:cs typeface="+mn-cs"/>
                  </a:defRPr>
                </a:pPr>
                <a:r>
                  <a:rPr lang="en-US" altLang="ko-KR"/>
                  <a:t>FI</a:t>
                </a:r>
                <a:endParaRPr lang="ko-KR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KoPub돋움체 Bold" panose="00000800000000000000" pitchFamily="2" charset="-127"/>
                  <a:ea typeface="KoPub돋움체 Bold" panose="00000800000000000000" pitchFamily="2" charset="-127"/>
                  <a:cs typeface="+mn-cs"/>
                </a:defRPr>
              </a:pPr>
              <a:endParaRPr lang="ko-K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KoPub돋움체 Bold" panose="00000800000000000000" pitchFamily="2" charset="-127"/>
                <a:ea typeface="KoPub돋움체 Bold" panose="00000800000000000000" pitchFamily="2" charset="-127"/>
                <a:cs typeface="+mn-cs"/>
              </a:defRPr>
            </a:pPr>
            <a:endParaRPr lang="ko-KR"/>
          </a:p>
        </c:txPr>
        <c:crossAx val="728789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894116372815647"/>
          <c:y val="5.6739971113078318E-2"/>
          <c:w val="0.21957520491903429"/>
          <c:h val="0.79609603114523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KoPub돋움체 Bold" panose="00000800000000000000" pitchFamily="2" charset="-127"/>
              <a:ea typeface="KoPub돋움체 Bold" panose="00000800000000000000" pitchFamily="2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KoPub돋움체 Bold" panose="00000800000000000000" pitchFamily="2" charset="-127"/>
          <a:ea typeface="KoPub돋움체 Bold" panose="00000800000000000000" pitchFamily="2" charset="-127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EM_total_안정동위원소!$B$12</c:f>
              <c:strCache>
                <c:ptCount val="1"/>
                <c:pt idx="0">
                  <c:v>Soil-2025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C0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EM_total_안정동위원소!$E$12:$E$33</c:f>
              <c:numCache>
                <c:formatCode>General</c:formatCode>
                <c:ptCount val="22"/>
                <c:pt idx="0">
                  <c:v>8.07</c:v>
                </c:pt>
                <c:pt idx="1">
                  <c:v>11.58</c:v>
                </c:pt>
                <c:pt idx="2">
                  <c:v>20.350000000000001</c:v>
                </c:pt>
                <c:pt idx="3">
                  <c:v>7.09</c:v>
                </c:pt>
                <c:pt idx="4">
                  <c:v>0.17</c:v>
                </c:pt>
                <c:pt idx="5">
                  <c:v>11.45</c:v>
                </c:pt>
                <c:pt idx="6">
                  <c:v>8.6199999999999992</c:v>
                </c:pt>
                <c:pt idx="7">
                  <c:v>5.65</c:v>
                </c:pt>
                <c:pt idx="8">
                  <c:v>1.77</c:v>
                </c:pt>
                <c:pt idx="9">
                  <c:v>10.31</c:v>
                </c:pt>
                <c:pt idx="10">
                  <c:v>1.67</c:v>
                </c:pt>
                <c:pt idx="11">
                  <c:v>-1.17</c:v>
                </c:pt>
                <c:pt idx="12">
                  <c:v>5.82</c:v>
                </c:pt>
                <c:pt idx="13">
                  <c:v>-7.66</c:v>
                </c:pt>
                <c:pt idx="14">
                  <c:v>0.76</c:v>
                </c:pt>
                <c:pt idx="15">
                  <c:v>3.07</c:v>
                </c:pt>
                <c:pt idx="16">
                  <c:v>1.44</c:v>
                </c:pt>
                <c:pt idx="17">
                  <c:v>-0.97</c:v>
                </c:pt>
                <c:pt idx="18">
                  <c:v>5.15</c:v>
                </c:pt>
                <c:pt idx="19">
                  <c:v>9.17</c:v>
                </c:pt>
                <c:pt idx="20">
                  <c:v>5.66</c:v>
                </c:pt>
                <c:pt idx="21">
                  <c:v>9.56</c:v>
                </c:pt>
              </c:numCache>
            </c:numRef>
          </c:xVal>
          <c:yVal>
            <c:numRef>
              <c:f>EM_total_안정동위원소!$F$12:$F$33</c:f>
              <c:numCache>
                <c:formatCode>General</c:formatCode>
                <c:ptCount val="22"/>
                <c:pt idx="0">
                  <c:v>5.95</c:v>
                </c:pt>
                <c:pt idx="1">
                  <c:v>25.48</c:v>
                </c:pt>
                <c:pt idx="2">
                  <c:v>-4.0199999999999996</c:v>
                </c:pt>
                <c:pt idx="3">
                  <c:v>2.76</c:v>
                </c:pt>
                <c:pt idx="4">
                  <c:v>4.79</c:v>
                </c:pt>
                <c:pt idx="5">
                  <c:v>-2.44</c:v>
                </c:pt>
                <c:pt idx="6">
                  <c:v>1.91</c:v>
                </c:pt>
                <c:pt idx="7">
                  <c:v>-0.27</c:v>
                </c:pt>
                <c:pt idx="8">
                  <c:v>-0.12</c:v>
                </c:pt>
                <c:pt idx="9">
                  <c:v>3.08</c:v>
                </c:pt>
                <c:pt idx="10">
                  <c:v>-1.53</c:v>
                </c:pt>
                <c:pt idx="11">
                  <c:v>6.46</c:v>
                </c:pt>
                <c:pt idx="12">
                  <c:v>-2.3199999999999998</c:v>
                </c:pt>
                <c:pt idx="13">
                  <c:v>8.66</c:v>
                </c:pt>
                <c:pt idx="14">
                  <c:v>10.93</c:v>
                </c:pt>
                <c:pt idx="15">
                  <c:v>10.94</c:v>
                </c:pt>
                <c:pt idx="16">
                  <c:v>6.68</c:v>
                </c:pt>
                <c:pt idx="17">
                  <c:v>4.4400000000000004</c:v>
                </c:pt>
                <c:pt idx="18">
                  <c:v>1.73</c:v>
                </c:pt>
                <c:pt idx="19">
                  <c:v>6.08</c:v>
                </c:pt>
                <c:pt idx="20">
                  <c:v>5.47</c:v>
                </c:pt>
                <c:pt idx="21">
                  <c:v>1.69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68-4735-98D7-1CD9C9A6D736}"/>
            </c:ext>
          </c:extLst>
        </c:ser>
        <c:ser>
          <c:idx val="1"/>
          <c:order val="1"/>
          <c:tx>
            <c:strRef>
              <c:f>EM_total_안정동위원소!$B$34</c:f>
              <c:strCache>
                <c:ptCount val="1"/>
                <c:pt idx="0">
                  <c:v>Soil-2024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rgbClr val="C0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EM_total_안정동위원소!$E$34:$E$53</c:f>
              <c:numCache>
                <c:formatCode>0.00_ </c:formatCode>
                <c:ptCount val="20"/>
                <c:pt idx="0">
                  <c:v>1.17</c:v>
                </c:pt>
                <c:pt idx="1">
                  <c:v>8.01</c:v>
                </c:pt>
                <c:pt idx="2">
                  <c:v>8.61</c:v>
                </c:pt>
                <c:pt idx="3">
                  <c:v>8.19</c:v>
                </c:pt>
                <c:pt idx="4">
                  <c:v>-0.66</c:v>
                </c:pt>
                <c:pt idx="5">
                  <c:v>4.79</c:v>
                </c:pt>
                <c:pt idx="6">
                  <c:v>7.38</c:v>
                </c:pt>
                <c:pt idx="7">
                  <c:v>-0.78</c:v>
                </c:pt>
                <c:pt idx="8">
                  <c:v>12.06</c:v>
                </c:pt>
                <c:pt idx="9">
                  <c:v>3.35</c:v>
                </c:pt>
                <c:pt idx="10">
                  <c:v>10.210000000000001</c:v>
                </c:pt>
                <c:pt idx="11">
                  <c:v>2.5299999999999998</c:v>
                </c:pt>
                <c:pt idx="12">
                  <c:v>11.41</c:v>
                </c:pt>
                <c:pt idx="13">
                  <c:v>10.77</c:v>
                </c:pt>
                <c:pt idx="14">
                  <c:v>0.91</c:v>
                </c:pt>
                <c:pt idx="15">
                  <c:v>-6.16</c:v>
                </c:pt>
                <c:pt idx="16">
                  <c:v>8.6</c:v>
                </c:pt>
                <c:pt idx="17">
                  <c:v>-2.21</c:v>
                </c:pt>
                <c:pt idx="18">
                  <c:v>0.98</c:v>
                </c:pt>
                <c:pt idx="19">
                  <c:v>8.3699999999999992</c:v>
                </c:pt>
              </c:numCache>
            </c:numRef>
          </c:xVal>
          <c:yVal>
            <c:numRef>
              <c:f>EM_total_안정동위원소!$F$34:$F$53</c:f>
              <c:numCache>
                <c:formatCode>0.00_ </c:formatCode>
                <c:ptCount val="20"/>
                <c:pt idx="0">
                  <c:v>1.62</c:v>
                </c:pt>
                <c:pt idx="1">
                  <c:v>10.42</c:v>
                </c:pt>
                <c:pt idx="2">
                  <c:v>1.57</c:v>
                </c:pt>
                <c:pt idx="3">
                  <c:v>-0.4</c:v>
                </c:pt>
                <c:pt idx="4">
                  <c:v>-5.07</c:v>
                </c:pt>
                <c:pt idx="5">
                  <c:v>2.92</c:v>
                </c:pt>
                <c:pt idx="6">
                  <c:v>7.32</c:v>
                </c:pt>
                <c:pt idx="7">
                  <c:v>7.39</c:v>
                </c:pt>
                <c:pt idx="8">
                  <c:v>1.55</c:v>
                </c:pt>
                <c:pt idx="9">
                  <c:v>6.93</c:v>
                </c:pt>
                <c:pt idx="10">
                  <c:v>10.56</c:v>
                </c:pt>
                <c:pt idx="11">
                  <c:v>10.61</c:v>
                </c:pt>
                <c:pt idx="12">
                  <c:v>4.5999999999999996</c:v>
                </c:pt>
                <c:pt idx="13">
                  <c:v>3.93</c:v>
                </c:pt>
                <c:pt idx="14">
                  <c:v>10.36</c:v>
                </c:pt>
                <c:pt idx="15">
                  <c:v>1.42</c:v>
                </c:pt>
                <c:pt idx="16">
                  <c:v>7.99</c:v>
                </c:pt>
                <c:pt idx="17">
                  <c:v>-2.04</c:v>
                </c:pt>
                <c:pt idx="18">
                  <c:v>4.29</c:v>
                </c:pt>
                <c:pt idx="19">
                  <c:v>2.1800000000000002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A68-4735-98D7-1CD9C9A6D736}"/>
            </c:ext>
          </c:extLst>
        </c:ser>
        <c:ser>
          <c:idx val="2"/>
          <c:order val="2"/>
          <c:tx>
            <c:strRef>
              <c:f>EM_total_안정동위원소!$B$2</c:f>
              <c:strCache>
                <c:ptCount val="1"/>
                <c:pt idx="0">
                  <c:v>Manure-2025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3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EM_total_안정동위원소!$E$2:$E$6</c:f>
              <c:numCache>
                <c:formatCode>General</c:formatCode>
                <c:ptCount val="5"/>
                <c:pt idx="0">
                  <c:v>13.4</c:v>
                </c:pt>
                <c:pt idx="1">
                  <c:v>15.93</c:v>
                </c:pt>
                <c:pt idx="2">
                  <c:v>18.760000000000002</c:v>
                </c:pt>
                <c:pt idx="3">
                  <c:v>15.11</c:v>
                </c:pt>
                <c:pt idx="4" formatCode="0.00_ ">
                  <c:v>19.260000000000002</c:v>
                </c:pt>
              </c:numCache>
            </c:numRef>
          </c:xVal>
          <c:yVal>
            <c:numRef>
              <c:f>EM_total_안정동위원소!$F$2:$F$6</c:f>
              <c:numCache>
                <c:formatCode>General</c:formatCode>
                <c:ptCount val="5"/>
                <c:pt idx="0">
                  <c:v>24.37</c:v>
                </c:pt>
                <c:pt idx="1">
                  <c:v>15.78</c:v>
                </c:pt>
                <c:pt idx="2">
                  <c:v>3.97</c:v>
                </c:pt>
                <c:pt idx="3">
                  <c:v>9.7200000000000006</c:v>
                </c:pt>
                <c:pt idx="4" formatCode="0.00_ 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A68-4735-98D7-1CD9C9A6D736}"/>
            </c:ext>
          </c:extLst>
        </c:ser>
        <c:ser>
          <c:idx val="3"/>
          <c:order val="3"/>
          <c:tx>
            <c:strRef>
              <c:f>EM_total_안정동위원소!$B$7</c:f>
              <c:strCache>
                <c:ptCount val="1"/>
                <c:pt idx="0">
                  <c:v>Manure-2024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chemeClr val="accent3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EM_total_안정동위원소!$E$7:$E$11</c:f>
              <c:numCache>
                <c:formatCode>General</c:formatCode>
                <c:ptCount val="5"/>
                <c:pt idx="0">
                  <c:v>15.97</c:v>
                </c:pt>
                <c:pt idx="1">
                  <c:v>19.62</c:v>
                </c:pt>
                <c:pt idx="2">
                  <c:v>21.09</c:v>
                </c:pt>
                <c:pt idx="3">
                  <c:v>24.48</c:v>
                </c:pt>
                <c:pt idx="4" formatCode="0.00">
                  <c:v>17.723203364241439</c:v>
                </c:pt>
              </c:numCache>
            </c:numRef>
          </c:xVal>
          <c:yVal>
            <c:numRef>
              <c:f>EM_total_안정동위원소!$F$7:$F$11</c:f>
              <c:numCache>
                <c:formatCode>General</c:formatCode>
                <c:ptCount val="5"/>
                <c:pt idx="0">
                  <c:v>2.65</c:v>
                </c:pt>
                <c:pt idx="1">
                  <c:v>7.36</c:v>
                </c:pt>
                <c:pt idx="2">
                  <c:v>4.13</c:v>
                </c:pt>
                <c:pt idx="3">
                  <c:v>1.67</c:v>
                </c:pt>
                <c:pt idx="4" formatCode="0.00">
                  <c:v>8.8196253753158071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A68-4735-98D7-1CD9C9A6D736}"/>
            </c:ext>
          </c:extLst>
        </c:ser>
        <c:ser>
          <c:idx val="4"/>
          <c:order val="4"/>
          <c:tx>
            <c:strRef>
              <c:f>EM_total_안정동위원소!$B$87</c:f>
              <c:strCache>
                <c:ptCount val="1"/>
                <c:pt idx="0">
                  <c:v>Sewage-2025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chemeClr val="accent5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EM_total_안정동위원소!$E$87:$E$105</c:f>
              <c:numCache>
                <c:formatCode>0.00</c:formatCode>
                <c:ptCount val="19"/>
                <c:pt idx="0">
                  <c:v>9.77</c:v>
                </c:pt>
                <c:pt idx="1">
                  <c:v>11.48</c:v>
                </c:pt>
                <c:pt idx="2">
                  <c:v>9.83</c:v>
                </c:pt>
                <c:pt idx="3">
                  <c:v>8.1199999999999992</c:v>
                </c:pt>
                <c:pt idx="4">
                  <c:v>8.98</c:v>
                </c:pt>
                <c:pt idx="5">
                  <c:v>11.7</c:v>
                </c:pt>
                <c:pt idx="6">
                  <c:v>12.29</c:v>
                </c:pt>
                <c:pt idx="7">
                  <c:v>12.98</c:v>
                </c:pt>
                <c:pt idx="8">
                  <c:v>20.5</c:v>
                </c:pt>
                <c:pt idx="9">
                  <c:v>10.89</c:v>
                </c:pt>
                <c:pt idx="10">
                  <c:v>10.95</c:v>
                </c:pt>
                <c:pt idx="11">
                  <c:v>21.7</c:v>
                </c:pt>
                <c:pt idx="12">
                  <c:v>20.47</c:v>
                </c:pt>
                <c:pt idx="13">
                  <c:v>13.38</c:v>
                </c:pt>
                <c:pt idx="14">
                  <c:v>2.16</c:v>
                </c:pt>
                <c:pt idx="15">
                  <c:v>20.62</c:v>
                </c:pt>
                <c:pt idx="16">
                  <c:v>12.28</c:v>
                </c:pt>
                <c:pt idx="17">
                  <c:v>18.02</c:v>
                </c:pt>
                <c:pt idx="18">
                  <c:v>23.7</c:v>
                </c:pt>
              </c:numCache>
            </c:numRef>
          </c:xVal>
          <c:yVal>
            <c:numRef>
              <c:f>EM_total_안정동위원소!$F$87:$F$105</c:f>
              <c:numCache>
                <c:formatCode>0.00</c:formatCode>
                <c:ptCount val="19"/>
                <c:pt idx="0">
                  <c:v>-1.17</c:v>
                </c:pt>
                <c:pt idx="1">
                  <c:v>0.36</c:v>
                </c:pt>
                <c:pt idx="2">
                  <c:v>-1.54</c:v>
                </c:pt>
                <c:pt idx="3">
                  <c:v>-0.73</c:v>
                </c:pt>
                <c:pt idx="4">
                  <c:v>-0.69</c:v>
                </c:pt>
                <c:pt idx="5">
                  <c:v>0.36</c:v>
                </c:pt>
                <c:pt idx="6">
                  <c:v>2.3199999999999998</c:v>
                </c:pt>
                <c:pt idx="7">
                  <c:v>2.63</c:v>
                </c:pt>
                <c:pt idx="8">
                  <c:v>5.45</c:v>
                </c:pt>
                <c:pt idx="9">
                  <c:v>0.19</c:v>
                </c:pt>
                <c:pt idx="10">
                  <c:v>-2.96</c:v>
                </c:pt>
                <c:pt idx="11">
                  <c:v>4.57</c:v>
                </c:pt>
                <c:pt idx="12">
                  <c:v>1.22</c:v>
                </c:pt>
                <c:pt idx="13">
                  <c:v>4.66</c:v>
                </c:pt>
                <c:pt idx="14">
                  <c:v>-3.58</c:v>
                </c:pt>
                <c:pt idx="15">
                  <c:v>0.06</c:v>
                </c:pt>
                <c:pt idx="16">
                  <c:v>-1.7</c:v>
                </c:pt>
                <c:pt idx="17">
                  <c:v>0.77</c:v>
                </c:pt>
                <c:pt idx="18">
                  <c:v>6.6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A68-4735-98D7-1CD9C9A6D736}"/>
            </c:ext>
          </c:extLst>
        </c:ser>
        <c:ser>
          <c:idx val="5"/>
          <c:order val="5"/>
          <c:tx>
            <c:strRef>
              <c:f>EM_total_안정동위원소!$B$106</c:f>
              <c:strCache>
                <c:ptCount val="1"/>
                <c:pt idx="0">
                  <c:v>Sewage-2024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0070C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EM_total_안정동위원소!$E$106:$E$109</c:f>
              <c:numCache>
                <c:formatCode>0.00_ </c:formatCode>
                <c:ptCount val="4"/>
                <c:pt idx="0">
                  <c:v>11.37</c:v>
                </c:pt>
                <c:pt idx="1">
                  <c:v>11.83</c:v>
                </c:pt>
                <c:pt idx="2">
                  <c:v>2.12</c:v>
                </c:pt>
                <c:pt idx="3">
                  <c:v>11.83</c:v>
                </c:pt>
              </c:numCache>
            </c:numRef>
          </c:xVal>
          <c:yVal>
            <c:numRef>
              <c:f>EM_total_안정동위원소!$F$106:$F$109</c:f>
              <c:numCache>
                <c:formatCode>0.00_ </c:formatCode>
                <c:ptCount val="4"/>
                <c:pt idx="0">
                  <c:v>1.92</c:v>
                </c:pt>
                <c:pt idx="1">
                  <c:v>0.92</c:v>
                </c:pt>
                <c:pt idx="2">
                  <c:v>7.97</c:v>
                </c:pt>
                <c:pt idx="3">
                  <c:v>0.92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A68-4735-98D7-1CD9C9A6D736}"/>
            </c:ext>
          </c:extLst>
        </c:ser>
        <c:ser>
          <c:idx val="6"/>
          <c:order val="6"/>
          <c:tx>
            <c:strRef>
              <c:f>EM_total_안정동위원소!$B$54</c:f>
              <c:strCache>
                <c:ptCount val="1"/>
                <c:pt idx="0">
                  <c:v>Effluent-2025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4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strRef>
              <c:f>EM_total_안정동위원소!$E$54:$E$66</c:f>
              <c:strCache>
                <c:ptCount val="13"/>
                <c:pt idx="0">
                  <c:v>-1.26 </c:v>
                </c:pt>
                <c:pt idx="1">
                  <c:v>2.18 </c:v>
                </c:pt>
                <c:pt idx="2">
                  <c:v>-</c:v>
                </c:pt>
                <c:pt idx="3">
                  <c:v>2.46</c:v>
                </c:pt>
                <c:pt idx="4">
                  <c:v>5.83</c:v>
                </c:pt>
                <c:pt idx="5">
                  <c:v>9.32</c:v>
                </c:pt>
                <c:pt idx="6">
                  <c:v>9.29</c:v>
                </c:pt>
                <c:pt idx="7">
                  <c:v>9.38</c:v>
                </c:pt>
                <c:pt idx="8">
                  <c:v>0.98</c:v>
                </c:pt>
                <c:pt idx="9">
                  <c:v>6.82</c:v>
                </c:pt>
                <c:pt idx="10">
                  <c:v>1.56</c:v>
                </c:pt>
                <c:pt idx="11">
                  <c:v>8.42 </c:v>
                </c:pt>
                <c:pt idx="12">
                  <c:v>14.34 </c:v>
                </c:pt>
              </c:strCache>
            </c:strRef>
          </c:xVal>
          <c:yVal>
            <c:numRef>
              <c:f>EM_total_안정동위원소!$F$54:$F$66</c:f>
              <c:numCache>
                <c:formatCode>0.00_ </c:formatCode>
                <c:ptCount val="13"/>
                <c:pt idx="0">
                  <c:v>2.93</c:v>
                </c:pt>
                <c:pt idx="1">
                  <c:v>2.93</c:v>
                </c:pt>
                <c:pt idx="2">
                  <c:v>0</c:v>
                </c:pt>
                <c:pt idx="3" formatCode="General">
                  <c:v>4.5599999999999996</c:v>
                </c:pt>
                <c:pt idx="4" formatCode="General">
                  <c:v>2.36</c:v>
                </c:pt>
                <c:pt idx="5" formatCode="General">
                  <c:v>3.43</c:v>
                </c:pt>
                <c:pt idx="6" formatCode="General">
                  <c:v>0.41</c:v>
                </c:pt>
                <c:pt idx="7" formatCode="General">
                  <c:v>-0.66</c:v>
                </c:pt>
                <c:pt idx="8" formatCode="General">
                  <c:v>5.25</c:v>
                </c:pt>
                <c:pt idx="9" formatCode="General">
                  <c:v>2.08</c:v>
                </c:pt>
                <c:pt idx="10" formatCode="General">
                  <c:v>1.42</c:v>
                </c:pt>
                <c:pt idx="11">
                  <c:v>1.95</c:v>
                </c:pt>
                <c:pt idx="12">
                  <c:v>3.59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A68-4735-98D7-1CD9C9A6D736}"/>
            </c:ext>
          </c:extLst>
        </c:ser>
        <c:ser>
          <c:idx val="7"/>
          <c:order val="7"/>
          <c:tx>
            <c:strRef>
              <c:f>EM_total_안정동위원소!$B$67</c:f>
              <c:strCache>
                <c:ptCount val="1"/>
                <c:pt idx="0">
                  <c:v>Effluent-2024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chemeClr val="accent4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EM_total_안정동위원소!$E$67:$E$71</c:f>
              <c:numCache>
                <c:formatCode>General</c:formatCode>
                <c:ptCount val="5"/>
                <c:pt idx="0">
                  <c:v>6.83</c:v>
                </c:pt>
                <c:pt idx="1">
                  <c:v>5.1100000000000003</c:v>
                </c:pt>
                <c:pt idx="2">
                  <c:v>6.91</c:v>
                </c:pt>
                <c:pt idx="3">
                  <c:v>8.9600000000000009</c:v>
                </c:pt>
                <c:pt idx="4">
                  <c:v>6.09</c:v>
                </c:pt>
              </c:numCache>
            </c:numRef>
          </c:xVal>
          <c:yVal>
            <c:numRef>
              <c:f>EM_total_안정동위원소!$F$67:$F$71</c:f>
              <c:numCache>
                <c:formatCode>General</c:formatCode>
                <c:ptCount val="5"/>
                <c:pt idx="0">
                  <c:v>3.8</c:v>
                </c:pt>
                <c:pt idx="1">
                  <c:v>4.53</c:v>
                </c:pt>
                <c:pt idx="2">
                  <c:v>5.44</c:v>
                </c:pt>
                <c:pt idx="3">
                  <c:v>8.98</c:v>
                </c:pt>
                <c:pt idx="4">
                  <c:v>2.36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A68-4735-98D7-1CD9C9A6D736}"/>
            </c:ext>
          </c:extLst>
        </c:ser>
        <c:ser>
          <c:idx val="8"/>
          <c:order val="8"/>
          <c:tx>
            <c:strRef>
              <c:f>EM_total_안정동위원소!$B$72</c:f>
              <c:strCache>
                <c:ptCount val="1"/>
                <c:pt idx="0">
                  <c:v>GW-2025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00B0F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EM_total_안정동위원소!$E$72:$E$74</c:f>
              <c:numCache>
                <c:formatCode>0.00_ </c:formatCode>
                <c:ptCount val="3"/>
                <c:pt idx="0">
                  <c:v>10.34</c:v>
                </c:pt>
                <c:pt idx="1">
                  <c:v>6.05</c:v>
                </c:pt>
                <c:pt idx="2">
                  <c:v>8.77</c:v>
                </c:pt>
              </c:numCache>
            </c:numRef>
          </c:xVal>
          <c:yVal>
            <c:numRef>
              <c:f>EM_total_안정동위원소!$F$72:$F$74</c:f>
              <c:numCache>
                <c:formatCode>0.00_ </c:formatCode>
                <c:ptCount val="3"/>
                <c:pt idx="0">
                  <c:v>3.36</c:v>
                </c:pt>
                <c:pt idx="1">
                  <c:v>1.94</c:v>
                </c:pt>
                <c:pt idx="2">
                  <c:v>4.9800000000000004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A68-4735-98D7-1CD9C9A6D736}"/>
            </c:ext>
          </c:extLst>
        </c:ser>
        <c:ser>
          <c:idx val="9"/>
          <c:order val="9"/>
          <c:tx>
            <c:strRef>
              <c:f>EM_total_안정동위원소!$B$75</c:f>
              <c:strCache>
                <c:ptCount val="1"/>
                <c:pt idx="0">
                  <c:v>GW-2024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rgbClr val="00B0F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EM_total_안정동위원소!$E$75:$E$78</c:f>
              <c:numCache>
                <c:formatCode>0.00</c:formatCode>
                <c:ptCount val="4"/>
                <c:pt idx="0">
                  <c:v>13.13</c:v>
                </c:pt>
                <c:pt idx="1">
                  <c:v>11.84</c:v>
                </c:pt>
                <c:pt idx="2">
                  <c:v>10.35</c:v>
                </c:pt>
                <c:pt idx="3">
                  <c:v>11.62</c:v>
                </c:pt>
              </c:numCache>
            </c:numRef>
          </c:xVal>
          <c:yVal>
            <c:numRef>
              <c:f>EM_total_안정동위원소!$F$75:$F$78</c:f>
              <c:numCache>
                <c:formatCode>0.00</c:formatCode>
                <c:ptCount val="4"/>
                <c:pt idx="0">
                  <c:v>3.23</c:v>
                </c:pt>
                <c:pt idx="1">
                  <c:v>2.75</c:v>
                </c:pt>
                <c:pt idx="2">
                  <c:v>3.55</c:v>
                </c:pt>
                <c:pt idx="3">
                  <c:v>5.07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2A68-4735-98D7-1CD9C9A6D736}"/>
            </c:ext>
          </c:extLst>
        </c:ser>
        <c:ser>
          <c:idx val="10"/>
          <c:order val="10"/>
          <c:tx>
            <c:strRef>
              <c:f>EM_total_안정동위원소!$B$79</c:f>
              <c:strCache>
                <c:ptCount val="1"/>
                <c:pt idx="0">
                  <c:v>비료-2025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00B05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EM_total_안정동위원소!$E$79:$E$82</c:f>
              <c:numCache>
                <c:formatCode>0.00_ </c:formatCode>
                <c:ptCount val="4"/>
                <c:pt idx="0">
                  <c:v>-15.2</c:v>
                </c:pt>
                <c:pt idx="1">
                  <c:v>-7.9</c:v>
                </c:pt>
                <c:pt idx="2">
                  <c:v>1</c:v>
                </c:pt>
                <c:pt idx="3">
                  <c:v>8.4</c:v>
                </c:pt>
              </c:numCache>
            </c:numRef>
          </c:xVal>
          <c:yVal>
            <c:numRef>
              <c:f>EM_total_안정동위원소!$F$79:$F$82</c:f>
              <c:numCache>
                <c:formatCode>0.00_ </c:formatCode>
                <c:ptCount val="4"/>
                <c:pt idx="0">
                  <c:v>19.100000000000001</c:v>
                </c:pt>
                <c:pt idx="1">
                  <c:v>18.2</c:v>
                </c:pt>
                <c:pt idx="2">
                  <c:v>16.600000000000001</c:v>
                </c:pt>
                <c:pt idx="3">
                  <c:v>20.9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A68-4735-98D7-1CD9C9A6D736}"/>
            </c:ext>
          </c:extLst>
        </c:ser>
        <c:ser>
          <c:idx val="11"/>
          <c:order val="11"/>
          <c:tx>
            <c:strRef>
              <c:f>EM_total_안정동위원소!$B$83</c:f>
              <c:strCache>
                <c:ptCount val="1"/>
                <c:pt idx="0">
                  <c:v>비료-2024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rgbClr val="00B05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EM_total_안정동위원소!$E$83:$E$85</c:f>
              <c:numCache>
                <c:formatCode>General</c:formatCode>
                <c:ptCount val="3"/>
                <c:pt idx="0">
                  <c:v>-17.75</c:v>
                </c:pt>
                <c:pt idx="1">
                  <c:v>0.54</c:v>
                </c:pt>
                <c:pt idx="2">
                  <c:v>7.14</c:v>
                </c:pt>
              </c:numCache>
            </c:numRef>
          </c:xVal>
          <c:yVal>
            <c:numRef>
              <c:f>EM_total_안정동위원소!$F$83:$F$85</c:f>
              <c:numCache>
                <c:formatCode>General</c:formatCode>
                <c:ptCount val="3"/>
                <c:pt idx="0">
                  <c:v>13.45</c:v>
                </c:pt>
                <c:pt idx="1">
                  <c:v>20.49</c:v>
                </c:pt>
                <c:pt idx="2">
                  <c:v>16.78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A68-4735-98D7-1CD9C9A6D736}"/>
            </c:ext>
          </c:extLst>
        </c:ser>
        <c:ser>
          <c:idx val="13"/>
          <c:order val="12"/>
          <c:tx>
            <c:strRef>
              <c:f>EM_total_안정동위원소!$B$111</c:f>
              <c:strCache>
                <c:ptCount val="1"/>
                <c:pt idx="0">
                  <c:v>강우-2025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EM_total_안정동위원소!$E$111:$E$112</c:f>
              <c:numCache>
                <c:formatCode>0.00</c:formatCode>
                <c:ptCount val="2"/>
                <c:pt idx="0" formatCode="0.00_ ">
                  <c:v>1.75</c:v>
                </c:pt>
                <c:pt idx="1">
                  <c:v>0.13</c:v>
                </c:pt>
              </c:numCache>
            </c:numRef>
          </c:xVal>
          <c:yVal>
            <c:numRef>
              <c:f>EM_total_안정동위원소!$F$111:$F$112</c:f>
              <c:numCache>
                <c:formatCode>0.00</c:formatCode>
                <c:ptCount val="2"/>
                <c:pt idx="0" formatCode="0.00_ ">
                  <c:v>45.94</c:v>
                </c:pt>
                <c:pt idx="1">
                  <c:v>51.47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A68-4735-98D7-1CD9C9A6D736}"/>
            </c:ext>
          </c:extLst>
        </c:ser>
        <c:ser>
          <c:idx val="12"/>
          <c:order val="13"/>
          <c:tx>
            <c:strRef>
              <c:f>EM_total_안정동위원소!$B$110</c:f>
              <c:strCache>
                <c:ptCount val="1"/>
                <c:pt idx="0">
                  <c:v>강우-2024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chemeClr val="accent2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EM_total_안정동위원소!$E$110</c:f>
              <c:numCache>
                <c:formatCode>0.00</c:formatCode>
                <c:ptCount val="1"/>
                <c:pt idx="0">
                  <c:v>-0.28024448861513651</c:v>
                </c:pt>
              </c:numCache>
            </c:numRef>
          </c:xVal>
          <c:yVal>
            <c:numRef>
              <c:f>EM_total_안정동위원소!$F$110</c:f>
              <c:numCache>
                <c:formatCode>0.00</c:formatCode>
                <c:ptCount val="1"/>
                <c:pt idx="0">
                  <c:v>47.367869763227127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A68-4735-98D7-1CD9C9A6D7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1965136"/>
        <c:axId val="1121959312"/>
      </c:scatterChart>
      <c:valAx>
        <c:axId val="11219651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KoPub돋움체 Bold" panose="00000800000000000000" pitchFamily="2" charset="-127"/>
                    <a:ea typeface="KoPub돋움체 Bold" panose="00000800000000000000" pitchFamily="2" charset="-127"/>
                    <a:cs typeface="+mn-cs"/>
                  </a:defRPr>
                </a:pPr>
                <a:r>
                  <a:rPr lang="en-US" altLang="ko-KR" sz="1100" b="1" baseline="30000">
                    <a:effectLst/>
                  </a:rPr>
                  <a:t>15</a:t>
                </a:r>
                <a:r>
                  <a:rPr lang="en-US" altLang="ko-KR" sz="1100" b="1">
                    <a:effectLst/>
                  </a:rPr>
                  <a:t>N-NO</a:t>
                </a:r>
                <a:r>
                  <a:rPr lang="en-US" altLang="ko-KR" sz="1100" b="1" baseline="-25000">
                    <a:effectLst/>
                  </a:rPr>
                  <a:t>3 </a:t>
                </a:r>
                <a:r>
                  <a:rPr lang="en-US" altLang="ko-KR" sz="1100" b="1" baseline="0">
                    <a:effectLst/>
                  </a:rPr>
                  <a:t>(‰)</a:t>
                </a:r>
                <a:endParaRPr lang="ko-KR" altLang="ko-KR" sz="1100">
                  <a:effectLst/>
                </a:endParaRPr>
              </a:p>
            </c:rich>
          </c:tx>
          <c:layout>
            <c:manualLayout>
              <c:xMode val="edge"/>
              <c:yMode val="edge"/>
              <c:x val="0.41816263802220216"/>
              <c:y val="0.926201821561313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KoPub돋움체 Bold" panose="00000800000000000000" pitchFamily="2" charset="-127"/>
                  <a:ea typeface="KoPub돋움체 Bold" panose="00000800000000000000" pitchFamily="2" charset="-127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out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KoPub돋움체 Bold" panose="00000800000000000000" pitchFamily="2" charset="-127"/>
                <a:ea typeface="KoPub돋움체 Bold" panose="00000800000000000000" pitchFamily="2" charset="-127"/>
                <a:cs typeface="+mn-cs"/>
              </a:defRPr>
            </a:pPr>
            <a:endParaRPr lang="ko-KR"/>
          </a:p>
        </c:txPr>
        <c:crossAx val="1121959312"/>
        <c:crossesAt val="-10"/>
        <c:crossBetween val="midCat"/>
      </c:valAx>
      <c:valAx>
        <c:axId val="11219593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KoPub돋움체 Bold" panose="00000800000000000000" pitchFamily="2" charset="-127"/>
                    <a:ea typeface="KoPub돋움체 Bold" panose="00000800000000000000" pitchFamily="2" charset="-127"/>
                    <a:cs typeface="+mn-cs"/>
                  </a:defRPr>
                </a:pPr>
                <a:r>
                  <a:rPr lang="en-US" altLang="ko-KR" sz="1100" b="1" i="0" baseline="30000">
                    <a:effectLst/>
                  </a:rPr>
                  <a:t>18</a:t>
                </a:r>
                <a:r>
                  <a:rPr lang="en-US" altLang="ko-KR" sz="1100" b="1" i="0" baseline="0">
                    <a:effectLst/>
                  </a:rPr>
                  <a:t>O-NO</a:t>
                </a:r>
                <a:r>
                  <a:rPr lang="en-US" altLang="ko-KR" sz="1100" b="1" i="0" baseline="-25000">
                    <a:effectLst/>
                  </a:rPr>
                  <a:t>3 </a:t>
                </a:r>
                <a:r>
                  <a:rPr lang="en-US" altLang="ko-KR" sz="1100" b="1" i="0" baseline="0">
                    <a:effectLst/>
                  </a:rPr>
                  <a:t>(‰)</a:t>
                </a:r>
                <a:endParaRPr lang="ko-KR" altLang="ko-KR" sz="1100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KoPub돋움체 Bold" panose="00000800000000000000" pitchFamily="2" charset="-127"/>
                  <a:ea typeface="KoPub돋움체 Bold" panose="00000800000000000000" pitchFamily="2" charset="-127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out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KoPub돋움체 Bold" panose="00000800000000000000" pitchFamily="2" charset="-127"/>
                <a:ea typeface="KoPub돋움체 Bold" panose="00000800000000000000" pitchFamily="2" charset="-127"/>
                <a:cs typeface="+mn-cs"/>
              </a:defRPr>
            </a:pPr>
            <a:endParaRPr lang="ko-KR"/>
          </a:p>
        </c:txPr>
        <c:crossAx val="1121965136"/>
        <c:crossesAt val="-20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81070061418889194"/>
          <c:y val="0.13006031747236985"/>
          <c:w val="0.15960796507139116"/>
          <c:h val="0.6706501642433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KoPub돋움체 Bold" panose="00000800000000000000" pitchFamily="2" charset="-127"/>
              <a:ea typeface="KoPub돋움체 Bold" panose="00000800000000000000" pitchFamily="2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KoPub돋움체 Bold" panose="00000800000000000000" pitchFamily="2" charset="-127"/>
          <a:ea typeface="KoPub돋움체 Bold" panose="00000800000000000000" pitchFamily="2" charset="-127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EM_total_안정동위원소!$B$12</c:f>
              <c:strCache>
                <c:ptCount val="1"/>
                <c:pt idx="0">
                  <c:v>Soil-2025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C0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EM_total_안정동위원소!$E$12:$E$33</c:f>
              <c:numCache>
                <c:formatCode>General</c:formatCode>
                <c:ptCount val="22"/>
                <c:pt idx="0">
                  <c:v>8.07</c:v>
                </c:pt>
                <c:pt idx="1">
                  <c:v>11.58</c:v>
                </c:pt>
                <c:pt idx="2">
                  <c:v>20.350000000000001</c:v>
                </c:pt>
                <c:pt idx="3">
                  <c:v>7.09</c:v>
                </c:pt>
                <c:pt idx="4">
                  <c:v>0.17</c:v>
                </c:pt>
                <c:pt idx="5">
                  <c:v>11.45</c:v>
                </c:pt>
                <c:pt idx="6">
                  <c:v>8.6199999999999992</c:v>
                </c:pt>
                <c:pt idx="7">
                  <c:v>5.65</c:v>
                </c:pt>
                <c:pt idx="8">
                  <c:v>1.77</c:v>
                </c:pt>
                <c:pt idx="9">
                  <c:v>10.31</c:v>
                </c:pt>
                <c:pt idx="10">
                  <c:v>1.67</c:v>
                </c:pt>
                <c:pt idx="11">
                  <c:v>-1.17</c:v>
                </c:pt>
                <c:pt idx="12">
                  <c:v>5.82</c:v>
                </c:pt>
                <c:pt idx="13">
                  <c:v>-7.66</c:v>
                </c:pt>
                <c:pt idx="14">
                  <c:v>0.76</c:v>
                </c:pt>
                <c:pt idx="15">
                  <c:v>3.07</c:v>
                </c:pt>
                <c:pt idx="16">
                  <c:v>1.44</c:v>
                </c:pt>
                <c:pt idx="17">
                  <c:v>-0.97</c:v>
                </c:pt>
                <c:pt idx="18">
                  <c:v>5.15</c:v>
                </c:pt>
                <c:pt idx="19">
                  <c:v>9.17</c:v>
                </c:pt>
                <c:pt idx="20">
                  <c:v>5.66</c:v>
                </c:pt>
                <c:pt idx="21">
                  <c:v>9.56</c:v>
                </c:pt>
              </c:numCache>
            </c:numRef>
          </c:xVal>
          <c:yVal>
            <c:numRef>
              <c:f>EM_total_안정동위원소!$F$12:$F$33</c:f>
              <c:numCache>
                <c:formatCode>General</c:formatCode>
                <c:ptCount val="22"/>
                <c:pt idx="0">
                  <c:v>5.95</c:v>
                </c:pt>
                <c:pt idx="1">
                  <c:v>25.48</c:v>
                </c:pt>
                <c:pt idx="2">
                  <c:v>-4.0199999999999996</c:v>
                </c:pt>
                <c:pt idx="3">
                  <c:v>2.76</c:v>
                </c:pt>
                <c:pt idx="4">
                  <c:v>4.79</c:v>
                </c:pt>
                <c:pt idx="5">
                  <c:v>-2.44</c:v>
                </c:pt>
                <c:pt idx="6">
                  <c:v>1.91</c:v>
                </c:pt>
                <c:pt idx="7">
                  <c:v>-0.27</c:v>
                </c:pt>
                <c:pt idx="8">
                  <c:v>-0.12</c:v>
                </c:pt>
                <c:pt idx="9">
                  <c:v>3.08</c:v>
                </c:pt>
                <c:pt idx="10">
                  <c:v>-1.53</c:v>
                </c:pt>
                <c:pt idx="11">
                  <c:v>6.46</c:v>
                </c:pt>
                <c:pt idx="12">
                  <c:v>-2.3199999999999998</c:v>
                </c:pt>
                <c:pt idx="13">
                  <c:v>8.66</c:v>
                </c:pt>
                <c:pt idx="14">
                  <c:v>10.93</c:v>
                </c:pt>
                <c:pt idx="15">
                  <c:v>10.94</c:v>
                </c:pt>
                <c:pt idx="16">
                  <c:v>6.68</c:v>
                </c:pt>
                <c:pt idx="17">
                  <c:v>4.4400000000000004</c:v>
                </c:pt>
                <c:pt idx="18">
                  <c:v>1.73</c:v>
                </c:pt>
                <c:pt idx="19">
                  <c:v>6.08</c:v>
                </c:pt>
                <c:pt idx="20">
                  <c:v>5.47</c:v>
                </c:pt>
                <c:pt idx="21">
                  <c:v>1.69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81-4E22-9A7C-15A7D589A176}"/>
            </c:ext>
          </c:extLst>
        </c:ser>
        <c:ser>
          <c:idx val="1"/>
          <c:order val="1"/>
          <c:tx>
            <c:strRef>
              <c:f>EM_total_안정동위원소!$B$34</c:f>
              <c:strCache>
                <c:ptCount val="1"/>
                <c:pt idx="0">
                  <c:v>Soil-2024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rgbClr val="C0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EM_total_안정동위원소!$E$34:$E$53</c:f>
              <c:numCache>
                <c:formatCode>0.00_ </c:formatCode>
                <c:ptCount val="20"/>
                <c:pt idx="0">
                  <c:v>1.17</c:v>
                </c:pt>
                <c:pt idx="1">
                  <c:v>8.01</c:v>
                </c:pt>
                <c:pt idx="2">
                  <c:v>8.61</c:v>
                </c:pt>
                <c:pt idx="3">
                  <c:v>8.19</c:v>
                </c:pt>
                <c:pt idx="4">
                  <c:v>-0.66</c:v>
                </c:pt>
                <c:pt idx="5">
                  <c:v>4.79</c:v>
                </c:pt>
                <c:pt idx="6">
                  <c:v>7.38</c:v>
                </c:pt>
                <c:pt idx="7">
                  <c:v>-0.78</c:v>
                </c:pt>
                <c:pt idx="8">
                  <c:v>12.06</c:v>
                </c:pt>
                <c:pt idx="9">
                  <c:v>3.35</c:v>
                </c:pt>
                <c:pt idx="10">
                  <c:v>10.210000000000001</c:v>
                </c:pt>
                <c:pt idx="11">
                  <c:v>2.5299999999999998</c:v>
                </c:pt>
                <c:pt idx="12">
                  <c:v>11.41</c:v>
                </c:pt>
                <c:pt idx="13">
                  <c:v>10.77</c:v>
                </c:pt>
                <c:pt idx="14">
                  <c:v>0.91</c:v>
                </c:pt>
                <c:pt idx="15">
                  <c:v>-6.16</c:v>
                </c:pt>
                <c:pt idx="16">
                  <c:v>8.6</c:v>
                </c:pt>
                <c:pt idx="17">
                  <c:v>-2.21</c:v>
                </c:pt>
                <c:pt idx="18">
                  <c:v>0.98</c:v>
                </c:pt>
                <c:pt idx="19">
                  <c:v>8.3699999999999992</c:v>
                </c:pt>
              </c:numCache>
            </c:numRef>
          </c:xVal>
          <c:yVal>
            <c:numRef>
              <c:f>EM_total_안정동위원소!$F$34:$F$53</c:f>
              <c:numCache>
                <c:formatCode>0.00_ </c:formatCode>
                <c:ptCount val="20"/>
                <c:pt idx="0">
                  <c:v>1.62</c:v>
                </c:pt>
                <c:pt idx="1">
                  <c:v>10.42</c:v>
                </c:pt>
                <c:pt idx="2">
                  <c:v>1.57</c:v>
                </c:pt>
                <c:pt idx="3">
                  <c:v>-0.4</c:v>
                </c:pt>
                <c:pt idx="4">
                  <c:v>-5.07</c:v>
                </c:pt>
                <c:pt idx="5">
                  <c:v>2.92</c:v>
                </c:pt>
                <c:pt idx="6">
                  <c:v>7.32</c:v>
                </c:pt>
                <c:pt idx="7">
                  <c:v>7.39</c:v>
                </c:pt>
                <c:pt idx="8">
                  <c:v>1.55</c:v>
                </c:pt>
                <c:pt idx="9">
                  <c:v>6.93</c:v>
                </c:pt>
                <c:pt idx="10">
                  <c:v>10.56</c:v>
                </c:pt>
                <c:pt idx="11">
                  <c:v>10.61</c:v>
                </c:pt>
                <c:pt idx="12">
                  <c:v>4.5999999999999996</c:v>
                </c:pt>
                <c:pt idx="13">
                  <c:v>3.93</c:v>
                </c:pt>
                <c:pt idx="14">
                  <c:v>10.36</c:v>
                </c:pt>
                <c:pt idx="15">
                  <c:v>1.42</c:v>
                </c:pt>
                <c:pt idx="16">
                  <c:v>7.99</c:v>
                </c:pt>
                <c:pt idx="17">
                  <c:v>-2.04</c:v>
                </c:pt>
                <c:pt idx="18">
                  <c:v>4.29</c:v>
                </c:pt>
                <c:pt idx="19">
                  <c:v>2.1800000000000002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81-4E22-9A7C-15A7D589A176}"/>
            </c:ext>
          </c:extLst>
        </c:ser>
        <c:ser>
          <c:idx val="2"/>
          <c:order val="2"/>
          <c:tx>
            <c:strRef>
              <c:f>EM_total_안정동위원소!$B$2</c:f>
              <c:strCache>
                <c:ptCount val="1"/>
                <c:pt idx="0">
                  <c:v>Manure-2025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3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EM_total_안정동위원소!$E$2:$E$6</c:f>
              <c:numCache>
                <c:formatCode>General</c:formatCode>
                <c:ptCount val="5"/>
                <c:pt idx="0">
                  <c:v>13.4</c:v>
                </c:pt>
                <c:pt idx="1">
                  <c:v>15.93</c:v>
                </c:pt>
                <c:pt idx="2">
                  <c:v>18.760000000000002</c:v>
                </c:pt>
                <c:pt idx="3">
                  <c:v>15.11</c:v>
                </c:pt>
                <c:pt idx="4" formatCode="0.00_ ">
                  <c:v>19.260000000000002</c:v>
                </c:pt>
              </c:numCache>
            </c:numRef>
          </c:xVal>
          <c:yVal>
            <c:numRef>
              <c:f>EM_total_안정동위원소!$F$2:$F$6</c:f>
              <c:numCache>
                <c:formatCode>General</c:formatCode>
                <c:ptCount val="5"/>
                <c:pt idx="0">
                  <c:v>24.37</c:v>
                </c:pt>
                <c:pt idx="1">
                  <c:v>15.78</c:v>
                </c:pt>
                <c:pt idx="2">
                  <c:v>3.97</c:v>
                </c:pt>
                <c:pt idx="3">
                  <c:v>9.7200000000000006</c:v>
                </c:pt>
                <c:pt idx="4" formatCode="0.00_ 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C81-4E22-9A7C-15A7D589A176}"/>
            </c:ext>
          </c:extLst>
        </c:ser>
        <c:ser>
          <c:idx val="3"/>
          <c:order val="3"/>
          <c:tx>
            <c:strRef>
              <c:f>EM_total_안정동위원소!$B$7</c:f>
              <c:strCache>
                <c:ptCount val="1"/>
                <c:pt idx="0">
                  <c:v>Manure-2024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chemeClr val="accent3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EM_total_안정동위원소!$E$7:$E$11</c:f>
              <c:numCache>
                <c:formatCode>General</c:formatCode>
                <c:ptCount val="5"/>
                <c:pt idx="0">
                  <c:v>15.97</c:v>
                </c:pt>
                <c:pt idx="1">
                  <c:v>19.62</c:v>
                </c:pt>
                <c:pt idx="2">
                  <c:v>21.09</c:v>
                </c:pt>
                <c:pt idx="3">
                  <c:v>24.48</c:v>
                </c:pt>
                <c:pt idx="4" formatCode="0.00">
                  <c:v>17.723203364241439</c:v>
                </c:pt>
              </c:numCache>
            </c:numRef>
          </c:xVal>
          <c:yVal>
            <c:numRef>
              <c:f>EM_total_안정동위원소!$F$7:$F$11</c:f>
              <c:numCache>
                <c:formatCode>General</c:formatCode>
                <c:ptCount val="5"/>
                <c:pt idx="0">
                  <c:v>2.65</c:v>
                </c:pt>
                <c:pt idx="1">
                  <c:v>7.36</c:v>
                </c:pt>
                <c:pt idx="2">
                  <c:v>4.13</c:v>
                </c:pt>
                <c:pt idx="3">
                  <c:v>1.67</c:v>
                </c:pt>
                <c:pt idx="4" formatCode="0.00">
                  <c:v>8.8196253753158071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C81-4E22-9A7C-15A7D589A176}"/>
            </c:ext>
          </c:extLst>
        </c:ser>
        <c:ser>
          <c:idx val="4"/>
          <c:order val="4"/>
          <c:tx>
            <c:strRef>
              <c:f>EM_total_안정동위원소!$B$87</c:f>
              <c:strCache>
                <c:ptCount val="1"/>
                <c:pt idx="0">
                  <c:v>Sewage-2025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rgbClr val="00B0F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EM_total_안정동위원소!$E$87:$E$105</c:f>
              <c:numCache>
                <c:formatCode>0.00</c:formatCode>
                <c:ptCount val="19"/>
                <c:pt idx="0">
                  <c:v>9.77</c:v>
                </c:pt>
                <c:pt idx="1">
                  <c:v>11.48</c:v>
                </c:pt>
                <c:pt idx="2">
                  <c:v>9.83</c:v>
                </c:pt>
                <c:pt idx="3">
                  <c:v>8.1199999999999992</c:v>
                </c:pt>
                <c:pt idx="4">
                  <c:v>8.98</c:v>
                </c:pt>
                <c:pt idx="5">
                  <c:v>11.7</c:v>
                </c:pt>
                <c:pt idx="6">
                  <c:v>12.29</c:v>
                </c:pt>
                <c:pt idx="7">
                  <c:v>12.98</c:v>
                </c:pt>
                <c:pt idx="8">
                  <c:v>20.5</c:v>
                </c:pt>
                <c:pt idx="9">
                  <c:v>10.89</c:v>
                </c:pt>
                <c:pt idx="10">
                  <c:v>10.95</c:v>
                </c:pt>
                <c:pt idx="11">
                  <c:v>21.7</c:v>
                </c:pt>
                <c:pt idx="12">
                  <c:v>20.47</c:v>
                </c:pt>
                <c:pt idx="13">
                  <c:v>13.38</c:v>
                </c:pt>
                <c:pt idx="14">
                  <c:v>2.16</c:v>
                </c:pt>
                <c:pt idx="15">
                  <c:v>20.62</c:v>
                </c:pt>
                <c:pt idx="16">
                  <c:v>12.28</c:v>
                </c:pt>
                <c:pt idx="17">
                  <c:v>18.02</c:v>
                </c:pt>
                <c:pt idx="18">
                  <c:v>23.7</c:v>
                </c:pt>
              </c:numCache>
            </c:numRef>
          </c:xVal>
          <c:yVal>
            <c:numRef>
              <c:f>EM_total_안정동위원소!$F$87:$F$105</c:f>
              <c:numCache>
                <c:formatCode>0.00</c:formatCode>
                <c:ptCount val="19"/>
                <c:pt idx="0">
                  <c:v>-1.17</c:v>
                </c:pt>
                <c:pt idx="1">
                  <c:v>0.36</c:v>
                </c:pt>
                <c:pt idx="2">
                  <c:v>-1.54</c:v>
                </c:pt>
                <c:pt idx="3">
                  <c:v>-0.73</c:v>
                </c:pt>
                <c:pt idx="4">
                  <c:v>-0.69</c:v>
                </c:pt>
                <c:pt idx="5">
                  <c:v>0.36</c:v>
                </c:pt>
                <c:pt idx="6">
                  <c:v>2.3199999999999998</c:v>
                </c:pt>
                <c:pt idx="7">
                  <c:v>2.63</c:v>
                </c:pt>
                <c:pt idx="8">
                  <c:v>5.45</c:v>
                </c:pt>
                <c:pt idx="9">
                  <c:v>0.19</c:v>
                </c:pt>
                <c:pt idx="10">
                  <c:v>-2.96</c:v>
                </c:pt>
                <c:pt idx="11">
                  <c:v>4.57</c:v>
                </c:pt>
                <c:pt idx="12">
                  <c:v>1.22</c:v>
                </c:pt>
                <c:pt idx="13">
                  <c:v>4.66</c:v>
                </c:pt>
                <c:pt idx="14">
                  <c:v>-3.58</c:v>
                </c:pt>
                <c:pt idx="15">
                  <c:v>0.06</c:v>
                </c:pt>
                <c:pt idx="16">
                  <c:v>-1.7</c:v>
                </c:pt>
                <c:pt idx="17">
                  <c:v>0.77</c:v>
                </c:pt>
                <c:pt idx="18">
                  <c:v>6.6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C81-4E22-9A7C-15A7D589A176}"/>
            </c:ext>
          </c:extLst>
        </c:ser>
        <c:ser>
          <c:idx val="5"/>
          <c:order val="5"/>
          <c:tx>
            <c:strRef>
              <c:f>EM_total_안정동위원소!$B$106</c:f>
              <c:strCache>
                <c:ptCount val="1"/>
                <c:pt idx="0">
                  <c:v>Sewage-2024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00B0F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EM_total_안정동위원소!$E$106:$E$109</c:f>
              <c:numCache>
                <c:formatCode>0.00_ </c:formatCode>
                <c:ptCount val="4"/>
                <c:pt idx="0">
                  <c:v>11.37</c:v>
                </c:pt>
                <c:pt idx="1">
                  <c:v>11.83</c:v>
                </c:pt>
                <c:pt idx="2">
                  <c:v>2.12</c:v>
                </c:pt>
                <c:pt idx="3">
                  <c:v>11.83</c:v>
                </c:pt>
              </c:numCache>
            </c:numRef>
          </c:xVal>
          <c:yVal>
            <c:numRef>
              <c:f>EM_total_안정동위원소!$F$106:$F$109</c:f>
              <c:numCache>
                <c:formatCode>0.00_ </c:formatCode>
                <c:ptCount val="4"/>
                <c:pt idx="0">
                  <c:v>1.92</c:v>
                </c:pt>
                <c:pt idx="1">
                  <c:v>0.92</c:v>
                </c:pt>
                <c:pt idx="2">
                  <c:v>7.97</c:v>
                </c:pt>
                <c:pt idx="3">
                  <c:v>0.92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C81-4E22-9A7C-15A7D589A176}"/>
            </c:ext>
          </c:extLst>
        </c:ser>
        <c:ser>
          <c:idx val="10"/>
          <c:order val="6"/>
          <c:tx>
            <c:strRef>
              <c:f>EM_total_안정동위원소!$B$79</c:f>
              <c:strCache>
                <c:ptCount val="1"/>
                <c:pt idx="0">
                  <c:v>비료-2025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00B05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EM_total_안정동위원소!$E$79:$E$82</c:f>
              <c:numCache>
                <c:formatCode>0.00_ </c:formatCode>
                <c:ptCount val="4"/>
                <c:pt idx="0">
                  <c:v>-15.2</c:v>
                </c:pt>
                <c:pt idx="1">
                  <c:v>-7.9</c:v>
                </c:pt>
                <c:pt idx="2">
                  <c:v>1</c:v>
                </c:pt>
                <c:pt idx="3">
                  <c:v>8.4</c:v>
                </c:pt>
              </c:numCache>
            </c:numRef>
          </c:xVal>
          <c:yVal>
            <c:numRef>
              <c:f>EM_total_안정동위원소!$F$79:$F$82</c:f>
              <c:numCache>
                <c:formatCode>0.00_ </c:formatCode>
                <c:ptCount val="4"/>
                <c:pt idx="0">
                  <c:v>19.100000000000001</c:v>
                </c:pt>
                <c:pt idx="1">
                  <c:v>18.2</c:v>
                </c:pt>
                <c:pt idx="2">
                  <c:v>16.600000000000001</c:v>
                </c:pt>
                <c:pt idx="3">
                  <c:v>20.9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CC81-4E22-9A7C-15A7D589A176}"/>
            </c:ext>
          </c:extLst>
        </c:ser>
        <c:ser>
          <c:idx val="11"/>
          <c:order val="7"/>
          <c:tx>
            <c:strRef>
              <c:f>EM_total_안정동위원소!$B$83</c:f>
              <c:strCache>
                <c:ptCount val="1"/>
                <c:pt idx="0">
                  <c:v>비료-2024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rgbClr val="00B05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EM_total_안정동위원소!$E$83:$E$86</c:f>
              <c:numCache>
                <c:formatCode>General</c:formatCode>
                <c:ptCount val="4"/>
                <c:pt idx="0">
                  <c:v>-17.75</c:v>
                </c:pt>
                <c:pt idx="1">
                  <c:v>0.54</c:v>
                </c:pt>
                <c:pt idx="2">
                  <c:v>7.14</c:v>
                </c:pt>
                <c:pt idx="3" formatCode="0.00">
                  <c:v>-2.8436590653693261</c:v>
                </c:pt>
              </c:numCache>
            </c:numRef>
          </c:xVal>
          <c:yVal>
            <c:numRef>
              <c:f>EM_total_안정동위원소!$F$83:$F$86</c:f>
              <c:numCache>
                <c:formatCode>General</c:formatCode>
                <c:ptCount val="4"/>
                <c:pt idx="0">
                  <c:v>13.45</c:v>
                </c:pt>
                <c:pt idx="1">
                  <c:v>20.49</c:v>
                </c:pt>
                <c:pt idx="2">
                  <c:v>16.78</c:v>
                </c:pt>
                <c:pt idx="3" formatCode="0.00">
                  <c:v>20.304265334571912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CC81-4E22-9A7C-15A7D589A176}"/>
            </c:ext>
          </c:extLst>
        </c:ser>
        <c:ser>
          <c:idx val="13"/>
          <c:order val="8"/>
          <c:tx>
            <c:strRef>
              <c:f>EM_total_안정동위원소!$B$111</c:f>
              <c:strCache>
                <c:ptCount val="1"/>
                <c:pt idx="0">
                  <c:v>강우-2025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EM_total_안정동위원소!$E$111:$E$112</c:f>
              <c:numCache>
                <c:formatCode>0.00</c:formatCode>
                <c:ptCount val="2"/>
                <c:pt idx="0" formatCode="0.00_ ">
                  <c:v>1.75</c:v>
                </c:pt>
                <c:pt idx="1">
                  <c:v>0.13</c:v>
                </c:pt>
              </c:numCache>
            </c:numRef>
          </c:xVal>
          <c:yVal>
            <c:numRef>
              <c:f>EM_total_안정동위원소!$F$111:$F$112</c:f>
              <c:numCache>
                <c:formatCode>0.00</c:formatCode>
                <c:ptCount val="2"/>
                <c:pt idx="0" formatCode="0.00_ ">
                  <c:v>45.94</c:v>
                </c:pt>
                <c:pt idx="1">
                  <c:v>51.47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CC81-4E22-9A7C-15A7D589A176}"/>
            </c:ext>
          </c:extLst>
        </c:ser>
        <c:ser>
          <c:idx val="12"/>
          <c:order val="9"/>
          <c:tx>
            <c:strRef>
              <c:f>EM_total_안정동위원소!$B$110</c:f>
              <c:strCache>
                <c:ptCount val="1"/>
                <c:pt idx="0">
                  <c:v>강우-2024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chemeClr val="accent2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EM_total_안정동위원소!$E$110</c:f>
              <c:numCache>
                <c:formatCode>0.00</c:formatCode>
                <c:ptCount val="1"/>
                <c:pt idx="0">
                  <c:v>-0.28024448861513651</c:v>
                </c:pt>
              </c:numCache>
            </c:numRef>
          </c:xVal>
          <c:yVal>
            <c:numRef>
              <c:f>EM_total_안정동위원소!$F$110</c:f>
              <c:numCache>
                <c:formatCode>0.00</c:formatCode>
                <c:ptCount val="1"/>
                <c:pt idx="0">
                  <c:v>47.367869763227127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CC81-4E22-9A7C-15A7D589A1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1965136"/>
        <c:axId val="1121959312"/>
      </c:scatterChart>
      <c:valAx>
        <c:axId val="11219651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KoPub돋움체 Bold" panose="00000800000000000000" pitchFamily="2" charset="-127"/>
                    <a:ea typeface="KoPub돋움체 Bold" panose="00000800000000000000" pitchFamily="2" charset="-127"/>
                    <a:cs typeface="+mn-cs"/>
                  </a:defRPr>
                </a:pPr>
                <a:r>
                  <a:rPr lang="en-US" altLang="ko-KR" sz="1100" b="1" baseline="30000">
                    <a:effectLst/>
                  </a:rPr>
                  <a:t>15</a:t>
                </a:r>
                <a:r>
                  <a:rPr lang="en-US" altLang="ko-KR" sz="1100" b="1">
                    <a:effectLst/>
                  </a:rPr>
                  <a:t>N-NO</a:t>
                </a:r>
                <a:r>
                  <a:rPr lang="en-US" altLang="ko-KR" sz="1100" b="1" baseline="-25000">
                    <a:effectLst/>
                  </a:rPr>
                  <a:t>3 </a:t>
                </a:r>
                <a:r>
                  <a:rPr lang="en-US" altLang="ko-KR" sz="1100" b="1" baseline="0">
                    <a:effectLst/>
                  </a:rPr>
                  <a:t>(‰)</a:t>
                </a:r>
                <a:endParaRPr lang="ko-KR" altLang="ko-KR" sz="1100">
                  <a:effectLst/>
                </a:endParaRPr>
              </a:p>
            </c:rich>
          </c:tx>
          <c:layout>
            <c:manualLayout>
              <c:xMode val="edge"/>
              <c:yMode val="edge"/>
              <c:x val="0.41816263802220216"/>
              <c:y val="0.926201821561313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KoPub돋움체 Bold" panose="00000800000000000000" pitchFamily="2" charset="-127"/>
                  <a:ea typeface="KoPub돋움체 Bold" panose="00000800000000000000" pitchFamily="2" charset="-127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out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KoPub돋움체 Bold" panose="00000800000000000000" pitchFamily="2" charset="-127"/>
                <a:ea typeface="KoPub돋움체 Bold" panose="00000800000000000000" pitchFamily="2" charset="-127"/>
                <a:cs typeface="+mn-cs"/>
              </a:defRPr>
            </a:pPr>
            <a:endParaRPr lang="ko-KR"/>
          </a:p>
        </c:txPr>
        <c:crossAx val="1121959312"/>
        <c:crossesAt val="-10"/>
        <c:crossBetween val="midCat"/>
      </c:valAx>
      <c:valAx>
        <c:axId val="11219593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KoPub돋움체 Bold" panose="00000800000000000000" pitchFamily="2" charset="-127"/>
                    <a:ea typeface="KoPub돋움체 Bold" panose="00000800000000000000" pitchFamily="2" charset="-127"/>
                    <a:cs typeface="+mn-cs"/>
                  </a:defRPr>
                </a:pPr>
                <a:r>
                  <a:rPr lang="en-US" altLang="ko-KR" sz="1100" b="1" i="0" baseline="30000">
                    <a:effectLst/>
                  </a:rPr>
                  <a:t>18</a:t>
                </a:r>
                <a:r>
                  <a:rPr lang="en-US" altLang="ko-KR" sz="1100" b="1" i="0" baseline="0">
                    <a:effectLst/>
                  </a:rPr>
                  <a:t>O-NO</a:t>
                </a:r>
                <a:r>
                  <a:rPr lang="en-US" altLang="ko-KR" sz="1100" b="1" i="0" baseline="-25000">
                    <a:effectLst/>
                  </a:rPr>
                  <a:t>3 </a:t>
                </a:r>
                <a:r>
                  <a:rPr lang="en-US" altLang="ko-KR" sz="1100" b="1" i="0" baseline="0">
                    <a:effectLst/>
                  </a:rPr>
                  <a:t>(‰)</a:t>
                </a:r>
                <a:endParaRPr lang="ko-KR" altLang="ko-KR" sz="1100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KoPub돋움체 Bold" panose="00000800000000000000" pitchFamily="2" charset="-127"/>
                  <a:ea typeface="KoPub돋움체 Bold" panose="00000800000000000000" pitchFamily="2" charset="-127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out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KoPub돋움체 Bold" panose="00000800000000000000" pitchFamily="2" charset="-127"/>
                <a:ea typeface="KoPub돋움체 Bold" panose="00000800000000000000" pitchFamily="2" charset="-127"/>
                <a:cs typeface="+mn-cs"/>
              </a:defRPr>
            </a:pPr>
            <a:endParaRPr lang="ko-KR"/>
          </a:p>
        </c:txPr>
        <c:crossAx val="1121965136"/>
        <c:crossesAt val="-20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81070061418889194"/>
          <c:y val="0.13006031747236985"/>
          <c:w val="0.15960796507139116"/>
          <c:h val="0.6706501642433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KoPub돋움체 Bold" panose="00000800000000000000" pitchFamily="2" charset="-127"/>
              <a:ea typeface="KoPub돋움체 Bold" panose="00000800000000000000" pitchFamily="2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KoPub돋움체 Bold" panose="00000800000000000000" pitchFamily="2" charset="-127"/>
          <a:ea typeface="KoPub돋움체 Bold" panose="00000800000000000000" pitchFamily="2" charset="-127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EM_total_2024!$H$26:$H$48</c:f>
              <c:numCache>
                <c:formatCode>0.00_ </c:formatCode>
                <c:ptCount val="23"/>
                <c:pt idx="0">
                  <c:v>1.17</c:v>
                </c:pt>
                <c:pt idx="1">
                  <c:v>8.01</c:v>
                </c:pt>
                <c:pt idx="2">
                  <c:v>8.61</c:v>
                </c:pt>
                <c:pt idx="3">
                  <c:v>8.19</c:v>
                </c:pt>
                <c:pt idx="4">
                  <c:v>-0.66</c:v>
                </c:pt>
                <c:pt idx="5">
                  <c:v>4.79</c:v>
                </c:pt>
                <c:pt idx="6">
                  <c:v>7.38</c:v>
                </c:pt>
                <c:pt idx="7">
                  <c:v>-0.78</c:v>
                </c:pt>
                <c:pt idx="8">
                  <c:v>12.06</c:v>
                </c:pt>
                <c:pt idx="9">
                  <c:v>3.35</c:v>
                </c:pt>
                <c:pt idx="10">
                  <c:v>10.210000000000001</c:v>
                </c:pt>
                <c:pt idx="11">
                  <c:v>2.5299999999999998</c:v>
                </c:pt>
                <c:pt idx="12">
                  <c:v>11.41</c:v>
                </c:pt>
                <c:pt idx="13">
                  <c:v>10.77</c:v>
                </c:pt>
                <c:pt idx="14">
                  <c:v>0.91</c:v>
                </c:pt>
                <c:pt idx="15">
                  <c:v>-6.16</c:v>
                </c:pt>
                <c:pt idx="16">
                  <c:v>8.6</c:v>
                </c:pt>
                <c:pt idx="17">
                  <c:v>-2.21</c:v>
                </c:pt>
                <c:pt idx="18">
                  <c:v>0.98</c:v>
                </c:pt>
                <c:pt idx="19" formatCode="General">
                  <c:v>-17.75</c:v>
                </c:pt>
                <c:pt idx="20" formatCode="General">
                  <c:v>0.54</c:v>
                </c:pt>
                <c:pt idx="21" formatCode="General">
                  <c:v>7.14</c:v>
                </c:pt>
                <c:pt idx="22">
                  <c:v>8.3699999999999992</c:v>
                </c:pt>
              </c:numCache>
            </c:numRef>
          </c:xVal>
          <c:yVal>
            <c:numRef>
              <c:f>EM_total_2024!$I$26:$I$48</c:f>
              <c:numCache>
                <c:formatCode>0.00_ </c:formatCode>
                <c:ptCount val="23"/>
                <c:pt idx="0">
                  <c:v>1.62</c:v>
                </c:pt>
                <c:pt idx="1">
                  <c:v>10.42</c:v>
                </c:pt>
                <c:pt idx="2">
                  <c:v>1.57</c:v>
                </c:pt>
                <c:pt idx="3">
                  <c:v>-0.4</c:v>
                </c:pt>
                <c:pt idx="4">
                  <c:v>-5.07</c:v>
                </c:pt>
                <c:pt idx="5">
                  <c:v>2.92</c:v>
                </c:pt>
                <c:pt idx="6">
                  <c:v>7.32</c:v>
                </c:pt>
                <c:pt idx="7">
                  <c:v>7.39</c:v>
                </c:pt>
                <c:pt idx="8">
                  <c:v>1.55</c:v>
                </c:pt>
                <c:pt idx="9">
                  <c:v>6.93</c:v>
                </c:pt>
                <c:pt idx="10">
                  <c:v>10.56</c:v>
                </c:pt>
                <c:pt idx="11">
                  <c:v>10.61</c:v>
                </c:pt>
                <c:pt idx="12">
                  <c:v>4.5999999999999996</c:v>
                </c:pt>
                <c:pt idx="13">
                  <c:v>3.93</c:v>
                </c:pt>
                <c:pt idx="14">
                  <c:v>10.36</c:v>
                </c:pt>
                <c:pt idx="15">
                  <c:v>1.42</c:v>
                </c:pt>
                <c:pt idx="16">
                  <c:v>7.99</c:v>
                </c:pt>
                <c:pt idx="17">
                  <c:v>-2.04</c:v>
                </c:pt>
                <c:pt idx="18">
                  <c:v>4.29</c:v>
                </c:pt>
                <c:pt idx="19" formatCode="General">
                  <c:v>13.45</c:v>
                </c:pt>
                <c:pt idx="20" formatCode="General">
                  <c:v>20.49</c:v>
                </c:pt>
                <c:pt idx="21" formatCode="General">
                  <c:v>16.78</c:v>
                </c:pt>
                <c:pt idx="22">
                  <c:v>2.1800000000000002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3F-4275-9539-99D57E3C896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1">
                  <a:lumMod val="40000"/>
                  <a:lumOff val="60000"/>
                </a:schemeClr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EM_total_2024!$H$54:$H$72</c:f>
              <c:numCache>
                <c:formatCode>0.00</c:formatCode>
                <c:ptCount val="19"/>
                <c:pt idx="0">
                  <c:v>9.77</c:v>
                </c:pt>
                <c:pt idx="1">
                  <c:v>11.48</c:v>
                </c:pt>
                <c:pt idx="2">
                  <c:v>9.83</c:v>
                </c:pt>
                <c:pt idx="3">
                  <c:v>8.1199999999999992</c:v>
                </c:pt>
                <c:pt idx="4">
                  <c:v>8.98</c:v>
                </c:pt>
                <c:pt idx="5">
                  <c:v>11.7</c:v>
                </c:pt>
                <c:pt idx="6">
                  <c:v>12.29</c:v>
                </c:pt>
                <c:pt idx="7">
                  <c:v>12.98</c:v>
                </c:pt>
                <c:pt idx="8">
                  <c:v>20.5</c:v>
                </c:pt>
                <c:pt idx="9">
                  <c:v>10.89</c:v>
                </c:pt>
                <c:pt idx="10">
                  <c:v>10.95</c:v>
                </c:pt>
                <c:pt idx="11">
                  <c:v>21.7</c:v>
                </c:pt>
                <c:pt idx="12">
                  <c:v>20.47</c:v>
                </c:pt>
                <c:pt idx="13">
                  <c:v>13.38</c:v>
                </c:pt>
                <c:pt idx="14">
                  <c:v>2.16</c:v>
                </c:pt>
                <c:pt idx="15">
                  <c:v>20.62</c:v>
                </c:pt>
                <c:pt idx="16">
                  <c:v>12.28</c:v>
                </c:pt>
                <c:pt idx="17">
                  <c:v>18.02</c:v>
                </c:pt>
                <c:pt idx="18">
                  <c:v>23.7</c:v>
                </c:pt>
              </c:numCache>
            </c:numRef>
          </c:xVal>
          <c:yVal>
            <c:numRef>
              <c:f>EM_total_2024!$I$54:$I$72</c:f>
              <c:numCache>
                <c:formatCode>0.00</c:formatCode>
                <c:ptCount val="19"/>
                <c:pt idx="0">
                  <c:v>-1.17</c:v>
                </c:pt>
                <c:pt idx="1">
                  <c:v>0.36</c:v>
                </c:pt>
                <c:pt idx="2">
                  <c:v>-1.54</c:v>
                </c:pt>
                <c:pt idx="3">
                  <c:v>-0.73</c:v>
                </c:pt>
                <c:pt idx="4">
                  <c:v>-0.69</c:v>
                </c:pt>
                <c:pt idx="5">
                  <c:v>0.36</c:v>
                </c:pt>
                <c:pt idx="6">
                  <c:v>2.3199999999999998</c:v>
                </c:pt>
                <c:pt idx="7">
                  <c:v>2.63</c:v>
                </c:pt>
                <c:pt idx="8">
                  <c:v>5.45</c:v>
                </c:pt>
                <c:pt idx="9">
                  <c:v>0.19</c:v>
                </c:pt>
                <c:pt idx="10">
                  <c:v>-2.96</c:v>
                </c:pt>
                <c:pt idx="11">
                  <c:v>4.57</c:v>
                </c:pt>
                <c:pt idx="12">
                  <c:v>1.22</c:v>
                </c:pt>
                <c:pt idx="13">
                  <c:v>4.66</c:v>
                </c:pt>
                <c:pt idx="14">
                  <c:v>-3.58</c:v>
                </c:pt>
                <c:pt idx="15">
                  <c:v>0.06</c:v>
                </c:pt>
                <c:pt idx="16">
                  <c:v>-1.7</c:v>
                </c:pt>
                <c:pt idx="17">
                  <c:v>0.77</c:v>
                </c:pt>
                <c:pt idx="18">
                  <c:v>6.6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53F-4275-9539-99D57E3C896B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6">
                  <a:lumMod val="20000"/>
                  <a:lumOff val="80000"/>
                </a:schemeClr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EM_total_2024!$H$73:$H$76</c:f>
              <c:numCache>
                <c:formatCode>0.00</c:formatCode>
                <c:ptCount val="4"/>
                <c:pt idx="0">
                  <c:v>13.13</c:v>
                </c:pt>
                <c:pt idx="1">
                  <c:v>11.84</c:v>
                </c:pt>
                <c:pt idx="2">
                  <c:v>10.35</c:v>
                </c:pt>
                <c:pt idx="3">
                  <c:v>11.62</c:v>
                </c:pt>
              </c:numCache>
            </c:numRef>
          </c:xVal>
          <c:yVal>
            <c:numRef>
              <c:f>EM_total_2024!$I$73:$I$76</c:f>
              <c:numCache>
                <c:formatCode>0.00</c:formatCode>
                <c:ptCount val="4"/>
                <c:pt idx="0">
                  <c:v>3.23</c:v>
                </c:pt>
                <c:pt idx="1">
                  <c:v>2.75</c:v>
                </c:pt>
                <c:pt idx="2">
                  <c:v>3.55</c:v>
                </c:pt>
                <c:pt idx="3">
                  <c:v>5.07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53F-4275-9539-99D57E3C896B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4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EM_total_2024!$H$49:$H$50</c:f>
              <c:numCache>
                <c:formatCode>General</c:formatCode>
                <c:ptCount val="2"/>
                <c:pt idx="0">
                  <c:v>6.83</c:v>
                </c:pt>
                <c:pt idx="1">
                  <c:v>5.1100000000000003</c:v>
                </c:pt>
              </c:numCache>
            </c:numRef>
          </c:xVal>
          <c:yVal>
            <c:numRef>
              <c:f>EM_total_2024!$I$49:$I$50</c:f>
              <c:numCache>
                <c:formatCode>General</c:formatCode>
                <c:ptCount val="2"/>
                <c:pt idx="0">
                  <c:v>3.8</c:v>
                </c:pt>
                <c:pt idx="1">
                  <c:v>4.53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53F-4275-9539-99D57E3C896B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0070C0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EM_total_2024!$H$51:$H$53</c:f>
              <c:numCache>
                <c:formatCode>General</c:formatCode>
                <c:ptCount val="3"/>
                <c:pt idx="0">
                  <c:v>6.91</c:v>
                </c:pt>
                <c:pt idx="1">
                  <c:v>8.9600000000000009</c:v>
                </c:pt>
                <c:pt idx="2">
                  <c:v>6.09</c:v>
                </c:pt>
              </c:numCache>
            </c:numRef>
          </c:xVal>
          <c:yVal>
            <c:numRef>
              <c:f>EM_total_2024!$I$51:$I$53</c:f>
              <c:numCache>
                <c:formatCode>General</c:formatCode>
                <c:ptCount val="3"/>
                <c:pt idx="0">
                  <c:v>5.44</c:v>
                </c:pt>
                <c:pt idx="1">
                  <c:v>8.98</c:v>
                </c:pt>
                <c:pt idx="2">
                  <c:v>2.36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53F-4275-9539-99D57E3C89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10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5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EM_total_2024!$H$26:$H$48</c:f>
              <c:numCache>
                <c:formatCode>0.00_ </c:formatCode>
                <c:ptCount val="23"/>
                <c:pt idx="0">
                  <c:v>1.17</c:v>
                </c:pt>
                <c:pt idx="1">
                  <c:v>8.01</c:v>
                </c:pt>
                <c:pt idx="2">
                  <c:v>8.61</c:v>
                </c:pt>
                <c:pt idx="3">
                  <c:v>8.19</c:v>
                </c:pt>
                <c:pt idx="4">
                  <c:v>-0.66</c:v>
                </c:pt>
                <c:pt idx="5">
                  <c:v>4.79</c:v>
                </c:pt>
                <c:pt idx="6">
                  <c:v>7.38</c:v>
                </c:pt>
                <c:pt idx="7">
                  <c:v>-0.78</c:v>
                </c:pt>
                <c:pt idx="8">
                  <c:v>12.06</c:v>
                </c:pt>
                <c:pt idx="9">
                  <c:v>3.35</c:v>
                </c:pt>
                <c:pt idx="10">
                  <c:v>10.210000000000001</c:v>
                </c:pt>
                <c:pt idx="11">
                  <c:v>2.5299999999999998</c:v>
                </c:pt>
                <c:pt idx="12">
                  <c:v>11.41</c:v>
                </c:pt>
                <c:pt idx="13">
                  <c:v>10.77</c:v>
                </c:pt>
                <c:pt idx="14">
                  <c:v>0.91</c:v>
                </c:pt>
                <c:pt idx="15">
                  <c:v>-6.16</c:v>
                </c:pt>
                <c:pt idx="16">
                  <c:v>8.6</c:v>
                </c:pt>
                <c:pt idx="17">
                  <c:v>-2.21</c:v>
                </c:pt>
                <c:pt idx="18">
                  <c:v>0.98</c:v>
                </c:pt>
                <c:pt idx="19" formatCode="General">
                  <c:v>-17.75</c:v>
                </c:pt>
                <c:pt idx="20" formatCode="General">
                  <c:v>0.54</c:v>
                </c:pt>
                <c:pt idx="21" formatCode="General">
                  <c:v>7.14</c:v>
                </c:pt>
                <c:pt idx="22">
                  <c:v>8.3699999999999992</c:v>
                </c:pt>
              </c:numCache>
            </c:numRef>
          </c:xVal>
          <c:yVal>
            <c:numRef>
              <c:f>EM_total_2024!$I$26:$I$48</c:f>
              <c:numCache>
                <c:formatCode>0.00_ </c:formatCode>
                <c:ptCount val="23"/>
                <c:pt idx="0">
                  <c:v>1.62</c:v>
                </c:pt>
                <c:pt idx="1">
                  <c:v>10.42</c:v>
                </c:pt>
                <c:pt idx="2">
                  <c:v>1.57</c:v>
                </c:pt>
                <c:pt idx="3">
                  <c:v>-0.4</c:v>
                </c:pt>
                <c:pt idx="4">
                  <c:v>-5.07</c:v>
                </c:pt>
                <c:pt idx="5">
                  <c:v>2.92</c:v>
                </c:pt>
                <c:pt idx="6">
                  <c:v>7.32</c:v>
                </c:pt>
                <c:pt idx="7">
                  <c:v>7.39</c:v>
                </c:pt>
                <c:pt idx="8">
                  <c:v>1.55</c:v>
                </c:pt>
                <c:pt idx="9">
                  <c:v>6.93</c:v>
                </c:pt>
                <c:pt idx="10">
                  <c:v>10.56</c:v>
                </c:pt>
                <c:pt idx="11">
                  <c:v>10.61</c:v>
                </c:pt>
                <c:pt idx="12">
                  <c:v>4.5999999999999996</c:v>
                </c:pt>
                <c:pt idx="13">
                  <c:v>3.93</c:v>
                </c:pt>
                <c:pt idx="14">
                  <c:v>10.36</c:v>
                </c:pt>
                <c:pt idx="15">
                  <c:v>1.42</c:v>
                </c:pt>
                <c:pt idx="16">
                  <c:v>7.99</c:v>
                </c:pt>
                <c:pt idx="17">
                  <c:v>-2.04</c:v>
                </c:pt>
                <c:pt idx="18">
                  <c:v>4.29</c:v>
                </c:pt>
                <c:pt idx="19" formatCode="General">
                  <c:v>13.45</c:v>
                </c:pt>
                <c:pt idx="20" formatCode="General">
                  <c:v>20.49</c:v>
                </c:pt>
                <c:pt idx="21" formatCode="General">
                  <c:v>16.78</c:v>
                </c:pt>
                <c:pt idx="22">
                  <c:v>2.1800000000000002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16-440A-B3D3-720884D6ADA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1">
                  <a:lumMod val="40000"/>
                  <a:lumOff val="60000"/>
                </a:schemeClr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EM_total_2024!$H$54:$H$72</c:f>
              <c:numCache>
                <c:formatCode>0.00</c:formatCode>
                <c:ptCount val="19"/>
                <c:pt idx="0">
                  <c:v>9.77</c:v>
                </c:pt>
                <c:pt idx="1">
                  <c:v>11.48</c:v>
                </c:pt>
                <c:pt idx="2">
                  <c:v>9.83</c:v>
                </c:pt>
                <c:pt idx="3">
                  <c:v>8.1199999999999992</c:v>
                </c:pt>
                <c:pt idx="4">
                  <c:v>8.98</c:v>
                </c:pt>
                <c:pt idx="5">
                  <c:v>11.7</c:v>
                </c:pt>
                <c:pt idx="6">
                  <c:v>12.29</c:v>
                </c:pt>
                <c:pt idx="7">
                  <c:v>12.98</c:v>
                </c:pt>
                <c:pt idx="8">
                  <c:v>20.5</c:v>
                </c:pt>
                <c:pt idx="9">
                  <c:v>10.89</c:v>
                </c:pt>
                <c:pt idx="10">
                  <c:v>10.95</c:v>
                </c:pt>
                <c:pt idx="11">
                  <c:v>21.7</c:v>
                </c:pt>
                <c:pt idx="12">
                  <c:v>20.47</c:v>
                </c:pt>
                <c:pt idx="13">
                  <c:v>13.38</c:v>
                </c:pt>
                <c:pt idx="14">
                  <c:v>2.16</c:v>
                </c:pt>
                <c:pt idx="15">
                  <c:v>20.62</c:v>
                </c:pt>
                <c:pt idx="16">
                  <c:v>12.28</c:v>
                </c:pt>
                <c:pt idx="17">
                  <c:v>18.02</c:v>
                </c:pt>
                <c:pt idx="18">
                  <c:v>23.7</c:v>
                </c:pt>
              </c:numCache>
            </c:numRef>
          </c:xVal>
          <c:yVal>
            <c:numRef>
              <c:f>EM_total_2024!$I$54:$I$72</c:f>
              <c:numCache>
                <c:formatCode>0.00</c:formatCode>
                <c:ptCount val="19"/>
                <c:pt idx="0">
                  <c:v>-1.17</c:v>
                </c:pt>
                <c:pt idx="1">
                  <c:v>0.36</c:v>
                </c:pt>
                <c:pt idx="2">
                  <c:v>-1.54</c:v>
                </c:pt>
                <c:pt idx="3">
                  <c:v>-0.73</c:v>
                </c:pt>
                <c:pt idx="4">
                  <c:v>-0.69</c:v>
                </c:pt>
                <c:pt idx="5">
                  <c:v>0.36</c:v>
                </c:pt>
                <c:pt idx="6">
                  <c:v>2.3199999999999998</c:v>
                </c:pt>
                <c:pt idx="7">
                  <c:v>2.63</c:v>
                </c:pt>
                <c:pt idx="8">
                  <c:v>5.45</c:v>
                </c:pt>
                <c:pt idx="9">
                  <c:v>0.19</c:v>
                </c:pt>
                <c:pt idx="10">
                  <c:v>-2.96</c:v>
                </c:pt>
                <c:pt idx="11">
                  <c:v>4.57</c:v>
                </c:pt>
                <c:pt idx="12">
                  <c:v>1.22</c:v>
                </c:pt>
                <c:pt idx="13">
                  <c:v>4.66</c:v>
                </c:pt>
                <c:pt idx="14">
                  <c:v>-3.58</c:v>
                </c:pt>
                <c:pt idx="15">
                  <c:v>0.06</c:v>
                </c:pt>
                <c:pt idx="16">
                  <c:v>-1.7</c:v>
                </c:pt>
                <c:pt idx="17">
                  <c:v>0.77</c:v>
                </c:pt>
                <c:pt idx="18">
                  <c:v>6.6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D16-440A-B3D3-720884D6ADA8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6">
                  <a:lumMod val="20000"/>
                  <a:lumOff val="80000"/>
                </a:schemeClr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EM_total_2024!$H$73:$H$76</c:f>
              <c:numCache>
                <c:formatCode>0.00</c:formatCode>
                <c:ptCount val="4"/>
                <c:pt idx="0">
                  <c:v>13.13</c:v>
                </c:pt>
                <c:pt idx="1">
                  <c:v>11.84</c:v>
                </c:pt>
                <c:pt idx="2">
                  <c:v>10.35</c:v>
                </c:pt>
                <c:pt idx="3">
                  <c:v>11.62</c:v>
                </c:pt>
              </c:numCache>
            </c:numRef>
          </c:xVal>
          <c:yVal>
            <c:numRef>
              <c:f>EM_total_2024!$I$73:$I$76</c:f>
              <c:numCache>
                <c:formatCode>0.00</c:formatCode>
                <c:ptCount val="4"/>
                <c:pt idx="0">
                  <c:v>3.23</c:v>
                </c:pt>
                <c:pt idx="1">
                  <c:v>2.75</c:v>
                </c:pt>
                <c:pt idx="2">
                  <c:v>3.55</c:v>
                </c:pt>
                <c:pt idx="3">
                  <c:v>5.07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D16-440A-B3D3-720884D6ADA8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4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EM_total_2024!$H$49:$H$50</c:f>
              <c:numCache>
                <c:formatCode>General</c:formatCode>
                <c:ptCount val="2"/>
                <c:pt idx="0">
                  <c:v>6.83</c:v>
                </c:pt>
                <c:pt idx="1">
                  <c:v>5.1100000000000003</c:v>
                </c:pt>
              </c:numCache>
            </c:numRef>
          </c:xVal>
          <c:yVal>
            <c:numRef>
              <c:f>EM_total_2024!$I$49:$I$50</c:f>
              <c:numCache>
                <c:formatCode>General</c:formatCode>
                <c:ptCount val="2"/>
                <c:pt idx="0">
                  <c:v>3.8</c:v>
                </c:pt>
                <c:pt idx="1">
                  <c:v>4.53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D16-440A-B3D3-720884D6ADA8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0070C0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EM_total_2024!$H$51:$H$53</c:f>
              <c:numCache>
                <c:formatCode>General</c:formatCode>
                <c:ptCount val="3"/>
                <c:pt idx="0">
                  <c:v>6.91</c:v>
                </c:pt>
                <c:pt idx="1">
                  <c:v>8.9600000000000009</c:v>
                </c:pt>
                <c:pt idx="2">
                  <c:v>6.09</c:v>
                </c:pt>
              </c:numCache>
            </c:numRef>
          </c:xVal>
          <c:yVal>
            <c:numRef>
              <c:f>EM_total_2024!$I$51:$I$53</c:f>
              <c:numCache>
                <c:formatCode>General</c:formatCode>
                <c:ptCount val="3"/>
                <c:pt idx="0">
                  <c:v>5.44</c:v>
                </c:pt>
                <c:pt idx="1">
                  <c:v>8.98</c:v>
                </c:pt>
                <c:pt idx="2">
                  <c:v>2.36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D16-440A-B3D3-720884D6AD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10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25"/>
          <c:min val="-5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5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41126470578243"/>
          <c:y val="4.2846832961255528E-2"/>
          <c:w val="0.65038824177456811"/>
          <c:h val="0.79271190047733253"/>
        </c:manualLayout>
      </c:layout>
      <c:scatterChart>
        <c:scatterStyle val="lineMarker"/>
        <c:varyColors val="0"/>
        <c:ser>
          <c:idx val="0"/>
          <c:order val="0"/>
          <c:tx>
            <c:strRef>
              <c:f>EM_total_2024!$B$2</c:f>
              <c:strCache>
                <c:ptCount val="1"/>
                <c:pt idx="0">
                  <c:v>Leaves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EM_total_2024!$F$2:$F$4</c:f>
              <c:numCache>
                <c:formatCode>0.00_ </c:formatCode>
                <c:ptCount val="3"/>
                <c:pt idx="0">
                  <c:v>7.1345029000000004E-2</c:v>
                </c:pt>
                <c:pt idx="1">
                  <c:v>0.19117646999999999</c:v>
                </c:pt>
                <c:pt idx="2">
                  <c:v>9.1056911000000004E-2</c:v>
                </c:pt>
              </c:numCache>
            </c:numRef>
          </c:xVal>
          <c:yVal>
            <c:numRef>
              <c:f>EM_total_2024!$G$2:$G$4</c:f>
              <c:numCache>
                <c:formatCode>0.00_ </c:formatCode>
                <c:ptCount val="3"/>
                <c:pt idx="0">
                  <c:v>0.54322497000000003</c:v>
                </c:pt>
                <c:pt idx="1">
                  <c:v>0.33122484000000002</c:v>
                </c:pt>
                <c:pt idx="2">
                  <c:v>0.49982269000000001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D5-41FE-9793-C93FF6F2CC42}"/>
            </c:ext>
          </c:extLst>
        </c:ser>
        <c:ser>
          <c:idx val="1"/>
          <c:order val="1"/>
          <c:tx>
            <c:strRef>
              <c:f>EM_total_2024!$B$5</c:f>
              <c:strCache>
                <c:ptCount val="1"/>
                <c:pt idx="0">
                  <c:v>Plants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EM_total_2024!$F$5:$F$8</c:f>
              <c:numCache>
                <c:formatCode>0.00_ </c:formatCode>
                <c:ptCount val="4"/>
                <c:pt idx="0">
                  <c:v>2.4608501000000001E-2</c:v>
                </c:pt>
                <c:pt idx="1">
                  <c:v>9.6138514999999994E-2</c:v>
                </c:pt>
                <c:pt idx="2">
                  <c:v>4.3949305000000001E-2</c:v>
                </c:pt>
                <c:pt idx="3">
                  <c:v>8.4940796999999998E-2</c:v>
                </c:pt>
              </c:numCache>
            </c:numRef>
          </c:xVal>
          <c:yVal>
            <c:numRef>
              <c:f>EM_total_2024!$G$5:$G$8</c:f>
              <c:numCache>
                <c:formatCode>0.00_ </c:formatCode>
                <c:ptCount val="4"/>
                <c:pt idx="0">
                  <c:v>1.2474521999999999</c:v>
                </c:pt>
                <c:pt idx="1">
                  <c:v>1.2979887999999999</c:v>
                </c:pt>
                <c:pt idx="2">
                  <c:v>1.2137967000000001</c:v>
                </c:pt>
                <c:pt idx="3">
                  <c:v>1.3070550000000001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BD5-41FE-9793-C93FF6F2CC42}"/>
            </c:ext>
          </c:extLst>
        </c:ser>
        <c:ser>
          <c:idx val="2"/>
          <c:order val="2"/>
          <c:tx>
            <c:strRef>
              <c:f>EM_total_2024!$B$9</c:f>
              <c:strCache>
                <c:ptCount val="1"/>
                <c:pt idx="0">
                  <c:v>Alage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EM_total_2024!$F$9:$F$16</c:f>
              <c:numCache>
                <c:formatCode>0.00_ </c:formatCode>
                <c:ptCount val="8"/>
                <c:pt idx="0">
                  <c:v>0.66253231999999995</c:v>
                </c:pt>
                <c:pt idx="1">
                  <c:v>0.65909817999999998</c:v>
                </c:pt>
                <c:pt idx="2">
                  <c:v>0.69011096999999999</c:v>
                </c:pt>
                <c:pt idx="3">
                  <c:v>0.74876264000000003</c:v>
                </c:pt>
                <c:pt idx="4">
                  <c:v>0.59331648000000003</c:v>
                </c:pt>
                <c:pt idx="5">
                  <c:v>0.54622367999999999</c:v>
                </c:pt>
                <c:pt idx="6">
                  <c:v>0.59125532999999997</c:v>
                </c:pt>
                <c:pt idx="7">
                  <c:v>0.58740621999999998</c:v>
                </c:pt>
              </c:numCache>
            </c:numRef>
          </c:xVal>
          <c:yVal>
            <c:numRef>
              <c:f>EM_total_2024!$G$9:$G$16</c:f>
              <c:numCache>
                <c:formatCode>0.00_ </c:formatCode>
                <c:ptCount val="8"/>
                <c:pt idx="0">
                  <c:v>1.4602349999999999</c:v>
                </c:pt>
                <c:pt idx="1">
                  <c:v>1.3749370000000001</c:v>
                </c:pt>
                <c:pt idx="2">
                  <c:v>1.5395901000000001</c:v>
                </c:pt>
                <c:pt idx="3">
                  <c:v>1.3940493</c:v>
                </c:pt>
                <c:pt idx="4">
                  <c:v>1</c:v>
                </c:pt>
                <c:pt idx="5">
                  <c:v>1.3658755</c:v>
                </c:pt>
                <c:pt idx="6">
                  <c:v>1.3888729</c:v>
                </c:pt>
                <c:pt idx="7">
                  <c:v>1.3366442999999999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BD5-41FE-9793-C93FF6F2CC42}"/>
            </c:ext>
          </c:extLst>
        </c:ser>
        <c:ser>
          <c:idx val="3"/>
          <c:order val="3"/>
          <c:tx>
            <c:strRef>
              <c:f>EM_total_2024!$B$17</c:f>
              <c:strCache>
                <c:ptCount val="1"/>
                <c:pt idx="0">
                  <c:v>Compost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EM_total_2024!$F$17:$F$20</c:f>
              <c:numCache>
                <c:formatCode>0.00_ </c:formatCode>
                <c:ptCount val="4"/>
                <c:pt idx="0">
                  <c:v>0.40384852999999998</c:v>
                </c:pt>
                <c:pt idx="1">
                  <c:v>0.11758989</c:v>
                </c:pt>
                <c:pt idx="2">
                  <c:v>0.88647476000000003</c:v>
                </c:pt>
                <c:pt idx="3">
                  <c:v>0.70610428000000003</c:v>
                </c:pt>
              </c:numCache>
            </c:numRef>
          </c:xVal>
          <c:yVal>
            <c:numRef>
              <c:f>EM_total_2024!$G$17:$G$20</c:f>
              <c:numCache>
                <c:formatCode>0.00_ </c:formatCode>
                <c:ptCount val="4"/>
                <c:pt idx="0">
                  <c:v>0.90452336</c:v>
                </c:pt>
                <c:pt idx="1">
                  <c:v>0.63300928999999995</c:v>
                </c:pt>
                <c:pt idx="2">
                  <c:v>1.0092668</c:v>
                </c:pt>
                <c:pt idx="3">
                  <c:v>1.1573837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BD5-41FE-9793-C93FF6F2CC42}"/>
            </c:ext>
          </c:extLst>
        </c:ser>
        <c:ser>
          <c:idx val="4"/>
          <c:order val="4"/>
          <c:tx>
            <c:strRef>
              <c:f>EM_total_2024!$B$26</c:f>
              <c:strCache>
                <c:ptCount val="1"/>
                <c:pt idx="0">
                  <c:v>Soil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EM_total_2024!$F$26:$F$48</c:f>
              <c:numCache>
                <c:formatCode>0.00</c:formatCode>
                <c:ptCount val="23"/>
                <c:pt idx="0">
                  <c:v>0.47329740999999997</c:v>
                </c:pt>
                <c:pt idx="1">
                  <c:v>0.67759767999999998</c:v>
                </c:pt>
                <c:pt idx="2">
                  <c:v>0.54516673999999998</c:v>
                </c:pt>
                <c:pt idx="3">
                  <c:v>0.64617754999999999</c:v>
                </c:pt>
                <c:pt idx="4">
                  <c:v>0.53042626999999998</c:v>
                </c:pt>
                <c:pt idx="5">
                  <c:v>0.62658780999999997</c:v>
                </c:pt>
                <c:pt idx="6">
                  <c:v>0.66664743000000004</c:v>
                </c:pt>
                <c:pt idx="7">
                  <c:v>0.57963251000000005</c:v>
                </c:pt>
                <c:pt idx="8">
                  <c:v>0.25352152999999999</c:v>
                </c:pt>
                <c:pt idx="9">
                  <c:v>0.62148999000000005</c:v>
                </c:pt>
                <c:pt idx="10">
                  <c:v>0.73918561999999999</c:v>
                </c:pt>
                <c:pt idx="11">
                  <c:v>0.67806681999999996</c:v>
                </c:pt>
                <c:pt idx="12">
                  <c:v>0.64439422000000002</c:v>
                </c:pt>
                <c:pt idx="13">
                  <c:v>0.58166293999999996</c:v>
                </c:pt>
                <c:pt idx="14">
                  <c:v>0.80445290000000003</c:v>
                </c:pt>
                <c:pt idx="15">
                  <c:v>0.4070453</c:v>
                </c:pt>
                <c:pt idx="16">
                  <c:v>0.66997894999999996</c:v>
                </c:pt>
                <c:pt idx="17">
                  <c:v>0.41013918999999999</c:v>
                </c:pt>
                <c:pt idx="18">
                  <c:v>0.44111872000000002</c:v>
                </c:pt>
                <c:pt idx="22">
                  <c:v>0.60338687000000002</c:v>
                </c:pt>
              </c:numCache>
            </c:numRef>
          </c:xVal>
          <c:yVal>
            <c:numRef>
              <c:f>EM_total_2024!$G$26:$G$48</c:f>
              <c:numCache>
                <c:formatCode>0.00</c:formatCode>
                <c:ptCount val="23"/>
                <c:pt idx="0">
                  <c:v>1.1137896</c:v>
                </c:pt>
                <c:pt idx="1">
                  <c:v>1.3672419</c:v>
                </c:pt>
                <c:pt idx="2">
                  <c:v>1.2168981999999999</c:v>
                </c:pt>
                <c:pt idx="3">
                  <c:v>1.2991196</c:v>
                </c:pt>
                <c:pt idx="4">
                  <c:v>1.2029145999999999</c:v>
                </c:pt>
                <c:pt idx="5">
                  <c:v>1.2702434</c:v>
                </c:pt>
                <c:pt idx="6">
                  <c:v>1.3213185000000001</c:v>
                </c:pt>
                <c:pt idx="7">
                  <c:v>1.2683205</c:v>
                </c:pt>
                <c:pt idx="8">
                  <c:v>0.84980294000000001</c:v>
                </c:pt>
                <c:pt idx="9">
                  <c:v>1.2475295</c:v>
                </c:pt>
                <c:pt idx="10">
                  <c:v>1.4219873999999999</c:v>
                </c:pt>
                <c:pt idx="11">
                  <c:v>1.3522186</c:v>
                </c:pt>
                <c:pt idx="12">
                  <c:v>1.3306944000000001</c:v>
                </c:pt>
                <c:pt idx="13">
                  <c:v>1.2001599000000001</c:v>
                </c:pt>
                <c:pt idx="14">
                  <c:v>1.4363739</c:v>
                </c:pt>
                <c:pt idx="15">
                  <c:v>1.0662522000000001</c:v>
                </c:pt>
                <c:pt idx="16">
                  <c:v>1.3106876000000001</c:v>
                </c:pt>
                <c:pt idx="17">
                  <c:v>1.0282157999999999</c:v>
                </c:pt>
                <c:pt idx="18">
                  <c:v>1.1328384</c:v>
                </c:pt>
                <c:pt idx="22">
                  <c:v>1.2379784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BD5-41FE-9793-C93FF6F2CC42}"/>
            </c:ext>
          </c:extLst>
        </c:ser>
        <c:ser>
          <c:idx val="5"/>
          <c:order val="5"/>
          <c:tx>
            <c:strRef>
              <c:f>EM_total_2024!$B$49</c:f>
              <c:strCache>
                <c:ptCount val="1"/>
                <c:pt idx="0">
                  <c:v>Effluent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EM_total_2024!$F$49:$F$53</c:f>
              <c:numCache>
                <c:formatCode>0.00</c:formatCode>
                <c:ptCount val="5"/>
                <c:pt idx="0">
                  <c:v>0.70751662999999998</c:v>
                </c:pt>
                <c:pt idx="1">
                  <c:v>0.69678355999999997</c:v>
                </c:pt>
                <c:pt idx="2">
                  <c:v>0.81</c:v>
                </c:pt>
                <c:pt idx="3">
                  <c:v>0.74504457999999996</c:v>
                </c:pt>
                <c:pt idx="4">
                  <c:v>0.73318718999999999</c:v>
                </c:pt>
              </c:numCache>
            </c:numRef>
          </c:xVal>
          <c:yVal>
            <c:numRef>
              <c:f>EM_total_2024!$G$49:$G$53</c:f>
              <c:numCache>
                <c:formatCode>0.00</c:formatCode>
                <c:ptCount val="5"/>
                <c:pt idx="0">
                  <c:v>1.3419743</c:v>
                </c:pt>
                <c:pt idx="1">
                  <c:v>1.3507718</c:v>
                </c:pt>
                <c:pt idx="2">
                  <c:v>1.33</c:v>
                </c:pt>
                <c:pt idx="3">
                  <c:v>1.2784743999999999</c:v>
                </c:pt>
                <c:pt idx="4">
                  <c:v>1.2976907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BD5-41FE-9793-C93FF6F2CC42}"/>
            </c:ext>
          </c:extLst>
        </c:ser>
        <c:ser>
          <c:idx val="6"/>
          <c:order val="6"/>
          <c:tx>
            <c:strRef>
              <c:f>EM_total_2024!$B$54</c:f>
              <c:strCache>
                <c:ptCount val="1"/>
                <c:pt idx="0">
                  <c:v>Sweage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EM_total_2024!$F$54:$F$69</c:f>
              <c:numCache>
                <c:formatCode>0.00</c:formatCode>
                <c:ptCount val="16"/>
                <c:pt idx="0">
                  <c:v>1.0878205000000001</c:v>
                </c:pt>
                <c:pt idx="1">
                  <c:v>1.0619810000000001</c:v>
                </c:pt>
                <c:pt idx="2">
                  <c:v>1.1160378</c:v>
                </c:pt>
                <c:pt idx="3">
                  <c:v>1.2237909</c:v>
                </c:pt>
                <c:pt idx="4">
                  <c:v>1.1088718</c:v>
                </c:pt>
                <c:pt idx="5">
                  <c:v>1.018926</c:v>
                </c:pt>
                <c:pt idx="6">
                  <c:v>1.0299684</c:v>
                </c:pt>
                <c:pt idx="11" formatCode="0.00_ ">
                  <c:v>1.4081307000000001</c:v>
                </c:pt>
                <c:pt idx="13" formatCode="0.00_ ">
                  <c:v>1.120441</c:v>
                </c:pt>
                <c:pt idx="14" formatCode="0.00_ ">
                  <c:v>1.2820104999999999</c:v>
                </c:pt>
                <c:pt idx="15" formatCode="0.00_ ">
                  <c:v>1.3164754000000001</c:v>
                </c:pt>
              </c:numCache>
            </c:numRef>
          </c:xVal>
          <c:yVal>
            <c:numRef>
              <c:f>EM_total_2024!$G$54:$G$69</c:f>
              <c:numCache>
                <c:formatCode>0.00</c:formatCode>
                <c:ptCount val="16"/>
                <c:pt idx="0">
                  <c:v>1.5689841</c:v>
                </c:pt>
                <c:pt idx="1">
                  <c:v>1.4963291999999999</c:v>
                </c:pt>
                <c:pt idx="2">
                  <c:v>1.5028785</c:v>
                </c:pt>
                <c:pt idx="3">
                  <c:v>1.5051988999999999</c:v>
                </c:pt>
                <c:pt idx="4">
                  <c:v>1.5697958000000001</c:v>
                </c:pt>
                <c:pt idx="5">
                  <c:v>1.5482205</c:v>
                </c:pt>
                <c:pt idx="6">
                  <c:v>1.5199166</c:v>
                </c:pt>
                <c:pt idx="11" formatCode="0.00_ ">
                  <c:v>1.6120125999999999</c:v>
                </c:pt>
                <c:pt idx="13" formatCode="0.00_ ">
                  <c:v>1.6853969</c:v>
                </c:pt>
                <c:pt idx="14" formatCode="0.00_ ">
                  <c:v>1.5806909</c:v>
                </c:pt>
                <c:pt idx="15" formatCode="0.00_ ">
                  <c:v>1.5301155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BD5-41FE-9793-C93FF6F2CC42}"/>
            </c:ext>
          </c:extLst>
        </c:ser>
        <c:ser>
          <c:idx val="7"/>
          <c:order val="7"/>
          <c:tx>
            <c:strRef>
              <c:f>EM_total_2024!$B$73</c:f>
              <c:strCache>
                <c:ptCount val="1"/>
                <c:pt idx="0">
                  <c:v>Groundwater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EM_total_2024!$F$73:$F$75</c:f>
              <c:numCache>
                <c:formatCode>0.00</c:formatCode>
                <c:ptCount val="3"/>
                <c:pt idx="0">
                  <c:v>1.0489337999999999</c:v>
                </c:pt>
                <c:pt idx="1">
                  <c:v>1.0745076</c:v>
                </c:pt>
                <c:pt idx="2">
                  <c:v>1.0744480999999999</c:v>
                </c:pt>
              </c:numCache>
            </c:numRef>
          </c:xVal>
          <c:yVal>
            <c:numRef>
              <c:f>EM_total_2024!$G$73:$G$75</c:f>
              <c:numCache>
                <c:formatCode>0.00</c:formatCode>
                <c:ptCount val="3"/>
                <c:pt idx="0">
                  <c:v>1.6631912</c:v>
                </c:pt>
                <c:pt idx="1">
                  <c:v>1.6990331999999999</c:v>
                </c:pt>
                <c:pt idx="2">
                  <c:v>1.7888577000000001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BD5-41FE-9793-C93FF6F2CC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8555887"/>
        <c:axId val="868562959"/>
      </c:scatterChart>
      <c:valAx>
        <c:axId val="8685558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BIX</a:t>
                </a:r>
                <a:endParaRPr lang="ko-KR" b="1"/>
              </a:p>
            </c:rich>
          </c:tx>
          <c:layout>
            <c:manualLayout>
              <c:xMode val="edge"/>
              <c:yMode val="edge"/>
              <c:x val="0.44650226619631761"/>
              <c:y val="0.927555601411165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0.00_ 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68562959"/>
        <c:crosses val="autoZero"/>
        <c:crossBetween val="midCat"/>
        <c:majorUnit val="0.2"/>
      </c:valAx>
      <c:valAx>
        <c:axId val="868562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FI</a:t>
                </a:r>
                <a:endParaRPr lang="ko-KR" b="1"/>
              </a:p>
            </c:rich>
          </c:tx>
          <c:layout>
            <c:manualLayout>
              <c:xMode val="edge"/>
              <c:yMode val="edge"/>
              <c:x val="3.9706484176673731E-3"/>
              <c:y val="0.421409934443032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685558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41126470578243"/>
          <c:y val="4.2846832961255528E-2"/>
          <c:w val="0.65038824177456811"/>
          <c:h val="0.79271190047733253"/>
        </c:manualLayout>
      </c:layout>
      <c:scatterChart>
        <c:scatterStyle val="lineMarker"/>
        <c:varyColors val="0"/>
        <c:ser>
          <c:idx val="0"/>
          <c:order val="0"/>
          <c:tx>
            <c:strRef>
              <c:f>EM_total_2024!$B$2</c:f>
              <c:strCache>
                <c:ptCount val="1"/>
                <c:pt idx="0">
                  <c:v>Leaves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EM_total_2024!$E$2:$E$4</c:f>
              <c:numCache>
                <c:formatCode>0.00_ </c:formatCode>
                <c:ptCount val="3"/>
                <c:pt idx="0">
                  <c:v>5.0131062000000002</c:v>
                </c:pt>
                <c:pt idx="1">
                  <c:v>0.53309353000000004</c:v>
                </c:pt>
                <c:pt idx="2">
                  <c:v>0.76725193999999997</c:v>
                </c:pt>
              </c:numCache>
            </c:numRef>
          </c:xVal>
          <c:yVal>
            <c:numRef>
              <c:f>EM_total_2024!$G$2:$G$4</c:f>
              <c:numCache>
                <c:formatCode>0.00_ </c:formatCode>
                <c:ptCount val="3"/>
                <c:pt idx="0">
                  <c:v>0.54322497000000003</c:v>
                </c:pt>
                <c:pt idx="1">
                  <c:v>0.33122484000000002</c:v>
                </c:pt>
                <c:pt idx="2">
                  <c:v>0.49982269000000001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C1-4DE0-96F3-9CB49FFA878B}"/>
            </c:ext>
          </c:extLst>
        </c:ser>
        <c:ser>
          <c:idx val="1"/>
          <c:order val="1"/>
          <c:tx>
            <c:strRef>
              <c:f>EM_total_2024!$B$5</c:f>
              <c:strCache>
                <c:ptCount val="1"/>
                <c:pt idx="0">
                  <c:v>Plants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EM_total_2024!$E$5:$E$8</c:f>
              <c:numCache>
                <c:formatCode>0.00_ </c:formatCode>
                <c:ptCount val="4"/>
                <c:pt idx="0">
                  <c:v>18.253259</c:v>
                </c:pt>
                <c:pt idx="1">
                  <c:v>15.894565</c:v>
                </c:pt>
                <c:pt idx="2">
                  <c:v>15.673439999999999</c:v>
                </c:pt>
                <c:pt idx="3">
                  <c:v>12.957406000000001</c:v>
                </c:pt>
              </c:numCache>
            </c:numRef>
          </c:xVal>
          <c:yVal>
            <c:numRef>
              <c:f>EM_total_2024!$G$5:$G$8</c:f>
              <c:numCache>
                <c:formatCode>0.00_ </c:formatCode>
                <c:ptCount val="4"/>
                <c:pt idx="0">
                  <c:v>1.2474521999999999</c:v>
                </c:pt>
                <c:pt idx="1">
                  <c:v>1.2979887999999999</c:v>
                </c:pt>
                <c:pt idx="2">
                  <c:v>1.2137967000000001</c:v>
                </c:pt>
                <c:pt idx="3">
                  <c:v>1.3070550000000001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C1-4DE0-96F3-9CB49FFA878B}"/>
            </c:ext>
          </c:extLst>
        </c:ser>
        <c:ser>
          <c:idx val="2"/>
          <c:order val="2"/>
          <c:tx>
            <c:strRef>
              <c:f>EM_total_2024!$B$9</c:f>
              <c:strCache>
                <c:ptCount val="1"/>
                <c:pt idx="0">
                  <c:v>Alage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EM_total_2024!$E$9:$E$16</c:f>
              <c:numCache>
                <c:formatCode>0.00_ </c:formatCode>
                <c:ptCount val="8"/>
                <c:pt idx="0">
                  <c:v>7.5397732</c:v>
                </c:pt>
                <c:pt idx="1">
                  <c:v>10.8985</c:v>
                </c:pt>
                <c:pt idx="2">
                  <c:v>5.4716737000000002</c:v>
                </c:pt>
                <c:pt idx="3">
                  <c:v>11.120661</c:v>
                </c:pt>
                <c:pt idx="4">
                  <c:v>46.277571000000002</c:v>
                </c:pt>
                <c:pt idx="5">
                  <c:v>3.4161260000000002</c:v>
                </c:pt>
                <c:pt idx="6">
                  <c:v>19.154025000000001</c:v>
                </c:pt>
                <c:pt idx="7">
                  <c:v>6.8927538999999998</c:v>
                </c:pt>
              </c:numCache>
            </c:numRef>
          </c:xVal>
          <c:yVal>
            <c:numRef>
              <c:f>EM_total_2024!$G$9:$G$16</c:f>
              <c:numCache>
                <c:formatCode>0.00_ </c:formatCode>
                <c:ptCount val="8"/>
                <c:pt idx="0">
                  <c:v>1.4602349999999999</c:v>
                </c:pt>
                <c:pt idx="1">
                  <c:v>1.3749370000000001</c:v>
                </c:pt>
                <c:pt idx="2">
                  <c:v>1.5395901000000001</c:v>
                </c:pt>
                <c:pt idx="3">
                  <c:v>1.3940493</c:v>
                </c:pt>
                <c:pt idx="4">
                  <c:v>1</c:v>
                </c:pt>
                <c:pt idx="5">
                  <c:v>1.3658755</c:v>
                </c:pt>
                <c:pt idx="6">
                  <c:v>1.3888729</c:v>
                </c:pt>
                <c:pt idx="7">
                  <c:v>1.3366442999999999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7C1-4DE0-96F3-9CB49FFA878B}"/>
            </c:ext>
          </c:extLst>
        </c:ser>
        <c:ser>
          <c:idx val="3"/>
          <c:order val="3"/>
          <c:tx>
            <c:strRef>
              <c:f>EM_total_2024!$B$17</c:f>
              <c:strCache>
                <c:ptCount val="1"/>
                <c:pt idx="0">
                  <c:v>Compost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EM_total_2024!$E$17:$E$20</c:f>
              <c:numCache>
                <c:formatCode>0.00_ </c:formatCode>
                <c:ptCount val="4"/>
                <c:pt idx="0">
                  <c:v>13.837702</c:v>
                </c:pt>
                <c:pt idx="1">
                  <c:v>2.8329843000000001</c:v>
                </c:pt>
                <c:pt idx="2">
                  <c:v>0.86863380999999995</c:v>
                </c:pt>
                <c:pt idx="3">
                  <c:v>13.028558</c:v>
                </c:pt>
              </c:numCache>
            </c:numRef>
          </c:xVal>
          <c:yVal>
            <c:numRef>
              <c:f>EM_total_2024!$G$17:$G$20</c:f>
              <c:numCache>
                <c:formatCode>0.00_ </c:formatCode>
                <c:ptCount val="4"/>
                <c:pt idx="0">
                  <c:v>0.90452336</c:v>
                </c:pt>
                <c:pt idx="1">
                  <c:v>0.63300928999999995</c:v>
                </c:pt>
                <c:pt idx="2">
                  <c:v>1.0092668</c:v>
                </c:pt>
                <c:pt idx="3">
                  <c:v>1.1573837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7C1-4DE0-96F3-9CB49FFA878B}"/>
            </c:ext>
          </c:extLst>
        </c:ser>
        <c:ser>
          <c:idx val="4"/>
          <c:order val="4"/>
          <c:tx>
            <c:strRef>
              <c:f>EM_total_2024!$B$26</c:f>
              <c:strCache>
                <c:ptCount val="1"/>
                <c:pt idx="0">
                  <c:v>Soil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EM_total_2024!$E$26:$E$48</c:f>
              <c:numCache>
                <c:formatCode>0.00</c:formatCode>
                <c:ptCount val="23"/>
                <c:pt idx="0">
                  <c:v>13.358699</c:v>
                </c:pt>
                <c:pt idx="1">
                  <c:v>4.2631950999999999</c:v>
                </c:pt>
                <c:pt idx="2">
                  <c:v>19.799914000000001</c:v>
                </c:pt>
                <c:pt idx="3">
                  <c:v>17.713673</c:v>
                </c:pt>
                <c:pt idx="4">
                  <c:v>11.703141</c:v>
                </c:pt>
                <c:pt idx="5">
                  <c:v>10.660031</c:v>
                </c:pt>
                <c:pt idx="6">
                  <c:v>4.0775791000000003</c:v>
                </c:pt>
                <c:pt idx="7">
                  <c:v>6.3679626000000003</c:v>
                </c:pt>
                <c:pt idx="8">
                  <c:v>175.63191</c:v>
                </c:pt>
                <c:pt idx="9">
                  <c:v>6.5884904999999998</c:v>
                </c:pt>
                <c:pt idx="10">
                  <c:v>4.5313696999999999</c:v>
                </c:pt>
                <c:pt idx="11">
                  <c:v>4.3217663000000002</c:v>
                </c:pt>
                <c:pt idx="12">
                  <c:v>10.644598</c:v>
                </c:pt>
                <c:pt idx="13">
                  <c:v>4.7711347000000002</c:v>
                </c:pt>
                <c:pt idx="14">
                  <c:v>3.0175786000000002</c:v>
                </c:pt>
                <c:pt idx="15">
                  <c:v>17.553982000000001</c:v>
                </c:pt>
                <c:pt idx="16">
                  <c:v>5.5132121999999999</c:v>
                </c:pt>
                <c:pt idx="17">
                  <c:v>22.721160000000001</c:v>
                </c:pt>
                <c:pt idx="18">
                  <c:v>8.3730086000000004</c:v>
                </c:pt>
                <c:pt idx="22">
                  <c:v>14.321686</c:v>
                </c:pt>
              </c:numCache>
            </c:numRef>
          </c:xVal>
          <c:yVal>
            <c:numRef>
              <c:f>EM_total_2024!$G$26:$G$48</c:f>
              <c:numCache>
                <c:formatCode>0.00</c:formatCode>
                <c:ptCount val="23"/>
                <c:pt idx="0">
                  <c:v>1.1137896</c:v>
                </c:pt>
                <c:pt idx="1">
                  <c:v>1.3672419</c:v>
                </c:pt>
                <c:pt idx="2">
                  <c:v>1.2168981999999999</c:v>
                </c:pt>
                <c:pt idx="3">
                  <c:v>1.2991196</c:v>
                </c:pt>
                <c:pt idx="4">
                  <c:v>1.2029145999999999</c:v>
                </c:pt>
                <c:pt idx="5">
                  <c:v>1.2702434</c:v>
                </c:pt>
                <c:pt idx="6">
                  <c:v>1.3213185000000001</c:v>
                </c:pt>
                <c:pt idx="7">
                  <c:v>1.2683205</c:v>
                </c:pt>
                <c:pt idx="8">
                  <c:v>0.84980294000000001</c:v>
                </c:pt>
                <c:pt idx="9">
                  <c:v>1.2475295</c:v>
                </c:pt>
                <c:pt idx="10">
                  <c:v>1.4219873999999999</c:v>
                </c:pt>
                <c:pt idx="11">
                  <c:v>1.3522186</c:v>
                </c:pt>
                <c:pt idx="12">
                  <c:v>1.3306944000000001</c:v>
                </c:pt>
                <c:pt idx="13">
                  <c:v>1.2001599000000001</c:v>
                </c:pt>
                <c:pt idx="14">
                  <c:v>1.4363739</c:v>
                </c:pt>
                <c:pt idx="15">
                  <c:v>1.0662522000000001</c:v>
                </c:pt>
                <c:pt idx="16">
                  <c:v>1.3106876000000001</c:v>
                </c:pt>
                <c:pt idx="17">
                  <c:v>1.0282157999999999</c:v>
                </c:pt>
                <c:pt idx="18">
                  <c:v>1.1328384</c:v>
                </c:pt>
                <c:pt idx="22">
                  <c:v>1.2379784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7C1-4DE0-96F3-9CB49FFA878B}"/>
            </c:ext>
          </c:extLst>
        </c:ser>
        <c:ser>
          <c:idx val="5"/>
          <c:order val="5"/>
          <c:tx>
            <c:strRef>
              <c:f>EM_total_2024!$B$49</c:f>
              <c:strCache>
                <c:ptCount val="1"/>
                <c:pt idx="0">
                  <c:v>Effluent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EM_total_2024!$E$49:$E$50</c:f>
              <c:numCache>
                <c:formatCode>0.00</c:formatCode>
                <c:ptCount val="2"/>
                <c:pt idx="0">
                  <c:v>4.6149015999999996</c:v>
                </c:pt>
                <c:pt idx="1">
                  <c:v>10.991274000000001</c:v>
                </c:pt>
              </c:numCache>
            </c:numRef>
          </c:xVal>
          <c:yVal>
            <c:numRef>
              <c:f>EM_total_2024!$G$49:$G$50</c:f>
              <c:numCache>
                <c:formatCode>0.00</c:formatCode>
                <c:ptCount val="2"/>
                <c:pt idx="0">
                  <c:v>1.3419743</c:v>
                </c:pt>
                <c:pt idx="1">
                  <c:v>1.3507718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7C1-4DE0-96F3-9CB49FFA878B}"/>
            </c:ext>
          </c:extLst>
        </c:ser>
        <c:ser>
          <c:idx val="6"/>
          <c:order val="6"/>
          <c:tx>
            <c:strRef>
              <c:f>EM_total_2024!$B$54</c:f>
              <c:strCache>
                <c:ptCount val="1"/>
                <c:pt idx="0">
                  <c:v>Sweage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EM_total_2024!$E$54:$E$69</c:f>
              <c:numCache>
                <c:formatCode>0.00</c:formatCode>
                <c:ptCount val="16"/>
                <c:pt idx="0">
                  <c:v>3.0694995</c:v>
                </c:pt>
                <c:pt idx="1">
                  <c:v>2.2891900999999999</c:v>
                </c:pt>
                <c:pt idx="2">
                  <c:v>2.6410182999999998</c:v>
                </c:pt>
                <c:pt idx="3">
                  <c:v>2.4270472000000001</c:v>
                </c:pt>
                <c:pt idx="4">
                  <c:v>3.0674687</c:v>
                </c:pt>
                <c:pt idx="5">
                  <c:v>3.6090258</c:v>
                </c:pt>
                <c:pt idx="6">
                  <c:v>3.1068517999999998</c:v>
                </c:pt>
                <c:pt idx="11" formatCode="0.00_ ">
                  <c:v>2.5410629999999998</c:v>
                </c:pt>
                <c:pt idx="13" formatCode="0.00_ ">
                  <c:v>1.8932445</c:v>
                </c:pt>
                <c:pt idx="14" formatCode="0.00_ ">
                  <c:v>2.8126639999999998</c:v>
                </c:pt>
                <c:pt idx="15" formatCode="0.00_ ">
                  <c:v>3.0038193</c:v>
                </c:pt>
              </c:numCache>
            </c:numRef>
          </c:xVal>
          <c:yVal>
            <c:numRef>
              <c:f>EM_total_2024!$G$54:$G$69</c:f>
              <c:numCache>
                <c:formatCode>0.00</c:formatCode>
                <c:ptCount val="16"/>
                <c:pt idx="0">
                  <c:v>1.5689841</c:v>
                </c:pt>
                <c:pt idx="1">
                  <c:v>1.4963291999999999</c:v>
                </c:pt>
                <c:pt idx="2">
                  <c:v>1.5028785</c:v>
                </c:pt>
                <c:pt idx="3">
                  <c:v>1.5051988999999999</c:v>
                </c:pt>
                <c:pt idx="4">
                  <c:v>1.5697958000000001</c:v>
                </c:pt>
                <c:pt idx="5">
                  <c:v>1.5482205</c:v>
                </c:pt>
                <c:pt idx="6">
                  <c:v>1.5199166</c:v>
                </c:pt>
                <c:pt idx="11" formatCode="0.00_ ">
                  <c:v>1.6120125999999999</c:v>
                </c:pt>
                <c:pt idx="13" formatCode="0.00_ ">
                  <c:v>1.6853969</c:v>
                </c:pt>
                <c:pt idx="14" formatCode="0.00_ ">
                  <c:v>1.5806909</c:v>
                </c:pt>
                <c:pt idx="15" formatCode="0.00_ ">
                  <c:v>1.5301155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7C1-4DE0-96F3-9CB49FFA878B}"/>
            </c:ext>
          </c:extLst>
        </c:ser>
        <c:ser>
          <c:idx val="7"/>
          <c:order val="7"/>
          <c:tx>
            <c:strRef>
              <c:f>EM_total_2024!$B$73</c:f>
              <c:strCache>
                <c:ptCount val="1"/>
                <c:pt idx="0">
                  <c:v>Groundwater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EM_total_2024!$E$73:$E$75</c:f>
              <c:numCache>
                <c:formatCode>0.00</c:formatCode>
                <c:ptCount val="3"/>
                <c:pt idx="0">
                  <c:v>3.2409005</c:v>
                </c:pt>
                <c:pt idx="1">
                  <c:v>3.4010318000000002</c:v>
                </c:pt>
                <c:pt idx="2">
                  <c:v>5.2600332999999999</c:v>
                </c:pt>
              </c:numCache>
            </c:numRef>
          </c:xVal>
          <c:yVal>
            <c:numRef>
              <c:f>EM_total_2024!$G$73:$G$75</c:f>
              <c:numCache>
                <c:formatCode>0.00</c:formatCode>
                <c:ptCount val="3"/>
                <c:pt idx="0">
                  <c:v>1.6631912</c:v>
                </c:pt>
                <c:pt idx="1">
                  <c:v>1.6990331999999999</c:v>
                </c:pt>
                <c:pt idx="2">
                  <c:v>1.7888577000000001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7C1-4DE0-96F3-9CB49FFA87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8555887"/>
        <c:axId val="868562959"/>
      </c:scatterChart>
      <c:valAx>
        <c:axId val="868555887"/>
        <c:scaling>
          <c:orientation val="minMax"/>
          <c:max val="3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HIX</a:t>
                </a:r>
                <a:endParaRPr lang="ko-KR" b="1"/>
              </a:p>
            </c:rich>
          </c:tx>
          <c:layout>
            <c:manualLayout>
              <c:xMode val="edge"/>
              <c:yMode val="edge"/>
              <c:x val="0.44650226619631761"/>
              <c:y val="0.927555601411165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0.00_ 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68562959"/>
        <c:crosses val="autoZero"/>
        <c:crossBetween val="midCat"/>
      </c:valAx>
      <c:valAx>
        <c:axId val="868562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FI</a:t>
                </a:r>
                <a:endParaRPr lang="ko-KR" b="1"/>
              </a:p>
            </c:rich>
          </c:tx>
          <c:layout>
            <c:manualLayout>
              <c:xMode val="edge"/>
              <c:yMode val="edge"/>
              <c:x val="3.9706484176673731E-3"/>
              <c:y val="0.421409934443032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685558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EM_total_2024!$H$26:$H$48</c:f>
              <c:numCache>
                <c:formatCode>0.00_ </c:formatCode>
                <c:ptCount val="23"/>
                <c:pt idx="0">
                  <c:v>1.17</c:v>
                </c:pt>
                <c:pt idx="1">
                  <c:v>8.01</c:v>
                </c:pt>
                <c:pt idx="2">
                  <c:v>8.61</c:v>
                </c:pt>
                <c:pt idx="3">
                  <c:v>8.19</c:v>
                </c:pt>
                <c:pt idx="4">
                  <c:v>-0.66</c:v>
                </c:pt>
                <c:pt idx="5">
                  <c:v>4.79</c:v>
                </c:pt>
                <c:pt idx="6">
                  <c:v>7.38</c:v>
                </c:pt>
                <c:pt idx="7">
                  <c:v>-0.78</c:v>
                </c:pt>
                <c:pt idx="8">
                  <c:v>12.06</c:v>
                </c:pt>
                <c:pt idx="9">
                  <c:v>3.35</c:v>
                </c:pt>
                <c:pt idx="10">
                  <c:v>10.210000000000001</c:v>
                </c:pt>
                <c:pt idx="11">
                  <c:v>2.5299999999999998</c:v>
                </c:pt>
                <c:pt idx="12">
                  <c:v>11.41</c:v>
                </c:pt>
                <c:pt idx="13">
                  <c:v>10.77</c:v>
                </c:pt>
                <c:pt idx="14">
                  <c:v>0.91</c:v>
                </c:pt>
                <c:pt idx="15">
                  <c:v>-6.16</c:v>
                </c:pt>
                <c:pt idx="16">
                  <c:v>8.6</c:v>
                </c:pt>
                <c:pt idx="17">
                  <c:v>-2.21</c:v>
                </c:pt>
                <c:pt idx="18">
                  <c:v>0.98</c:v>
                </c:pt>
                <c:pt idx="19" formatCode="General">
                  <c:v>-17.75</c:v>
                </c:pt>
                <c:pt idx="20" formatCode="General">
                  <c:v>0.54</c:v>
                </c:pt>
                <c:pt idx="21" formatCode="General">
                  <c:v>7.14</c:v>
                </c:pt>
                <c:pt idx="22">
                  <c:v>8.3699999999999992</c:v>
                </c:pt>
              </c:numCache>
            </c:numRef>
          </c:xVal>
          <c:yVal>
            <c:numRef>
              <c:f>EM_total_2024!$I$26:$I$48</c:f>
              <c:numCache>
                <c:formatCode>0.00_ </c:formatCode>
                <c:ptCount val="23"/>
                <c:pt idx="0">
                  <c:v>1.62</c:v>
                </c:pt>
                <c:pt idx="1">
                  <c:v>10.42</c:v>
                </c:pt>
                <c:pt idx="2">
                  <c:v>1.57</c:v>
                </c:pt>
                <c:pt idx="3">
                  <c:v>-0.4</c:v>
                </c:pt>
                <c:pt idx="4">
                  <c:v>-5.07</c:v>
                </c:pt>
                <c:pt idx="5">
                  <c:v>2.92</c:v>
                </c:pt>
                <c:pt idx="6">
                  <c:v>7.32</c:v>
                </c:pt>
                <c:pt idx="7">
                  <c:v>7.39</c:v>
                </c:pt>
                <c:pt idx="8">
                  <c:v>1.55</c:v>
                </c:pt>
                <c:pt idx="9">
                  <c:v>6.93</c:v>
                </c:pt>
                <c:pt idx="10">
                  <c:v>10.56</c:v>
                </c:pt>
                <c:pt idx="11">
                  <c:v>10.61</c:v>
                </c:pt>
                <c:pt idx="12">
                  <c:v>4.5999999999999996</c:v>
                </c:pt>
                <c:pt idx="13">
                  <c:v>3.93</c:v>
                </c:pt>
                <c:pt idx="14">
                  <c:v>10.36</c:v>
                </c:pt>
                <c:pt idx="15">
                  <c:v>1.42</c:v>
                </c:pt>
                <c:pt idx="16">
                  <c:v>7.99</c:v>
                </c:pt>
                <c:pt idx="17">
                  <c:v>-2.04</c:v>
                </c:pt>
                <c:pt idx="18">
                  <c:v>4.29</c:v>
                </c:pt>
                <c:pt idx="19" formatCode="General">
                  <c:v>13.45</c:v>
                </c:pt>
                <c:pt idx="20" formatCode="General">
                  <c:v>20.49</c:v>
                </c:pt>
                <c:pt idx="21" formatCode="General">
                  <c:v>16.78</c:v>
                </c:pt>
                <c:pt idx="22">
                  <c:v>2.1800000000000002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E5-4F80-8E36-DCF3F923EF9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1">
                  <a:lumMod val="40000"/>
                  <a:lumOff val="60000"/>
                </a:schemeClr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EM_total_2024!$H$54:$H$72</c:f>
              <c:numCache>
                <c:formatCode>0.00</c:formatCode>
                <c:ptCount val="19"/>
                <c:pt idx="0">
                  <c:v>9.77</c:v>
                </c:pt>
                <c:pt idx="1">
                  <c:v>11.48</c:v>
                </c:pt>
                <c:pt idx="2">
                  <c:v>9.83</c:v>
                </c:pt>
                <c:pt idx="3">
                  <c:v>8.1199999999999992</c:v>
                </c:pt>
                <c:pt idx="4">
                  <c:v>8.98</c:v>
                </c:pt>
                <c:pt idx="5">
                  <c:v>11.7</c:v>
                </c:pt>
                <c:pt idx="6">
                  <c:v>12.29</c:v>
                </c:pt>
                <c:pt idx="7">
                  <c:v>12.98</c:v>
                </c:pt>
                <c:pt idx="8">
                  <c:v>20.5</c:v>
                </c:pt>
                <c:pt idx="9">
                  <c:v>10.89</c:v>
                </c:pt>
                <c:pt idx="10">
                  <c:v>10.95</c:v>
                </c:pt>
                <c:pt idx="11">
                  <c:v>21.7</c:v>
                </c:pt>
                <c:pt idx="12">
                  <c:v>20.47</c:v>
                </c:pt>
                <c:pt idx="13">
                  <c:v>13.38</c:v>
                </c:pt>
                <c:pt idx="14">
                  <c:v>2.16</c:v>
                </c:pt>
                <c:pt idx="15">
                  <c:v>20.62</c:v>
                </c:pt>
                <c:pt idx="16">
                  <c:v>12.28</c:v>
                </c:pt>
                <c:pt idx="17">
                  <c:v>18.02</c:v>
                </c:pt>
                <c:pt idx="18">
                  <c:v>23.7</c:v>
                </c:pt>
              </c:numCache>
            </c:numRef>
          </c:xVal>
          <c:yVal>
            <c:numRef>
              <c:f>EM_total_2024!$I$54:$I$72</c:f>
              <c:numCache>
                <c:formatCode>0.00</c:formatCode>
                <c:ptCount val="19"/>
                <c:pt idx="0">
                  <c:v>-1.17</c:v>
                </c:pt>
                <c:pt idx="1">
                  <c:v>0.36</c:v>
                </c:pt>
                <c:pt idx="2">
                  <c:v>-1.54</c:v>
                </c:pt>
                <c:pt idx="3">
                  <c:v>-0.73</c:v>
                </c:pt>
                <c:pt idx="4">
                  <c:v>-0.69</c:v>
                </c:pt>
                <c:pt idx="5">
                  <c:v>0.36</c:v>
                </c:pt>
                <c:pt idx="6">
                  <c:v>2.3199999999999998</c:v>
                </c:pt>
                <c:pt idx="7">
                  <c:v>2.63</c:v>
                </c:pt>
                <c:pt idx="8">
                  <c:v>5.45</c:v>
                </c:pt>
                <c:pt idx="9">
                  <c:v>0.19</c:v>
                </c:pt>
                <c:pt idx="10">
                  <c:v>-2.96</c:v>
                </c:pt>
                <c:pt idx="11">
                  <c:v>4.57</c:v>
                </c:pt>
                <c:pt idx="12">
                  <c:v>1.22</c:v>
                </c:pt>
                <c:pt idx="13">
                  <c:v>4.66</c:v>
                </c:pt>
                <c:pt idx="14">
                  <c:v>-3.58</c:v>
                </c:pt>
                <c:pt idx="15">
                  <c:v>0.06</c:v>
                </c:pt>
                <c:pt idx="16">
                  <c:v>-1.7</c:v>
                </c:pt>
                <c:pt idx="17">
                  <c:v>0.77</c:v>
                </c:pt>
                <c:pt idx="18">
                  <c:v>6.6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7E5-4F80-8E36-DCF3F923EF98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6">
                  <a:lumMod val="20000"/>
                  <a:lumOff val="80000"/>
                </a:schemeClr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EM_total_2024!$H$73:$H$76</c:f>
              <c:numCache>
                <c:formatCode>0.00</c:formatCode>
                <c:ptCount val="4"/>
                <c:pt idx="0">
                  <c:v>13.13</c:v>
                </c:pt>
                <c:pt idx="1">
                  <c:v>11.84</c:v>
                </c:pt>
                <c:pt idx="2">
                  <c:v>10.35</c:v>
                </c:pt>
                <c:pt idx="3">
                  <c:v>11.62</c:v>
                </c:pt>
              </c:numCache>
            </c:numRef>
          </c:xVal>
          <c:yVal>
            <c:numRef>
              <c:f>EM_total_2024!$I$73:$I$76</c:f>
              <c:numCache>
                <c:formatCode>0.00</c:formatCode>
                <c:ptCount val="4"/>
                <c:pt idx="0">
                  <c:v>3.23</c:v>
                </c:pt>
                <c:pt idx="1">
                  <c:v>2.75</c:v>
                </c:pt>
                <c:pt idx="2">
                  <c:v>3.55</c:v>
                </c:pt>
                <c:pt idx="3">
                  <c:v>5.07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7E5-4F80-8E36-DCF3F923EF98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4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EM_total_2024!$H$49:$H$50</c:f>
              <c:numCache>
                <c:formatCode>General</c:formatCode>
                <c:ptCount val="2"/>
                <c:pt idx="0">
                  <c:v>6.83</c:v>
                </c:pt>
                <c:pt idx="1">
                  <c:v>5.1100000000000003</c:v>
                </c:pt>
              </c:numCache>
            </c:numRef>
          </c:xVal>
          <c:yVal>
            <c:numRef>
              <c:f>EM_total_2024!$I$49:$I$50</c:f>
              <c:numCache>
                <c:formatCode>General</c:formatCode>
                <c:ptCount val="2"/>
                <c:pt idx="0">
                  <c:v>3.8</c:v>
                </c:pt>
                <c:pt idx="1">
                  <c:v>4.53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7E5-4F80-8E36-DCF3F923EF98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0070C0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EM_total_2024!$H$51:$H$53</c:f>
              <c:numCache>
                <c:formatCode>General</c:formatCode>
                <c:ptCount val="3"/>
                <c:pt idx="0">
                  <c:v>6.91</c:v>
                </c:pt>
                <c:pt idx="1">
                  <c:v>8.9600000000000009</c:v>
                </c:pt>
                <c:pt idx="2">
                  <c:v>6.09</c:v>
                </c:pt>
              </c:numCache>
            </c:numRef>
          </c:xVal>
          <c:yVal>
            <c:numRef>
              <c:f>EM_total_2024!$I$51:$I$53</c:f>
              <c:numCache>
                <c:formatCode>General</c:formatCode>
                <c:ptCount val="3"/>
                <c:pt idx="0">
                  <c:v>5.44</c:v>
                </c:pt>
                <c:pt idx="1">
                  <c:v>8.98</c:v>
                </c:pt>
                <c:pt idx="2">
                  <c:v>2.36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7E5-4F80-8E36-DCF3F923EF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10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5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97607563201141"/>
          <c:y val="4.2846832961255528E-2"/>
          <c:w val="0.67082343084833929"/>
          <c:h val="0.80342299635738401"/>
        </c:manualLayout>
      </c:layout>
      <c:scatterChart>
        <c:scatterStyle val="lineMarker"/>
        <c:varyColors val="0"/>
        <c:ser>
          <c:idx val="0"/>
          <c:order val="0"/>
          <c:tx>
            <c:strRef>
              <c:f>EM_total_2024!$B$2</c:f>
              <c:strCache>
                <c:ptCount val="1"/>
                <c:pt idx="0">
                  <c:v>Leaves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EM_total_2024!$G$2:$G$4</c:f>
              <c:numCache>
                <c:formatCode>0.00_ </c:formatCode>
                <c:ptCount val="3"/>
                <c:pt idx="0">
                  <c:v>0.54322497000000003</c:v>
                </c:pt>
                <c:pt idx="1">
                  <c:v>0.33122484000000002</c:v>
                </c:pt>
                <c:pt idx="2">
                  <c:v>0.49982269000000001</c:v>
                </c:pt>
              </c:numCache>
            </c:numRef>
          </c:xVal>
          <c:yVal>
            <c:numRef>
              <c:f>EM_total_2024!$E$2:$E$4</c:f>
              <c:numCache>
                <c:formatCode>0.00_ </c:formatCode>
                <c:ptCount val="3"/>
                <c:pt idx="0">
                  <c:v>5.0131062000000002</c:v>
                </c:pt>
                <c:pt idx="1">
                  <c:v>0.53309353000000004</c:v>
                </c:pt>
                <c:pt idx="2">
                  <c:v>0.76725193999999997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FD-4FA5-B85F-997B2519C193}"/>
            </c:ext>
          </c:extLst>
        </c:ser>
        <c:ser>
          <c:idx val="1"/>
          <c:order val="1"/>
          <c:tx>
            <c:strRef>
              <c:f>EM_total_2024!$B$5</c:f>
              <c:strCache>
                <c:ptCount val="1"/>
                <c:pt idx="0">
                  <c:v>Plants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EM_total_2024!$G$5:$G$8</c:f>
              <c:numCache>
                <c:formatCode>0.00_ </c:formatCode>
                <c:ptCount val="4"/>
                <c:pt idx="0">
                  <c:v>1.2474521999999999</c:v>
                </c:pt>
                <c:pt idx="1">
                  <c:v>1.2979887999999999</c:v>
                </c:pt>
                <c:pt idx="2">
                  <c:v>1.2137967000000001</c:v>
                </c:pt>
                <c:pt idx="3">
                  <c:v>1.3070550000000001</c:v>
                </c:pt>
              </c:numCache>
            </c:numRef>
          </c:xVal>
          <c:yVal>
            <c:numRef>
              <c:f>EM_total_2024!$E$5:$E$8</c:f>
              <c:numCache>
                <c:formatCode>0.00_ </c:formatCode>
                <c:ptCount val="4"/>
                <c:pt idx="0">
                  <c:v>18.253259</c:v>
                </c:pt>
                <c:pt idx="1">
                  <c:v>15.894565</c:v>
                </c:pt>
                <c:pt idx="2">
                  <c:v>15.673439999999999</c:v>
                </c:pt>
                <c:pt idx="3">
                  <c:v>12.957406000000001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AFD-4FA5-B85F-997B2519C193}"/>
            </c:ext>
          </c:extLst>
        </c:ser>
        <c:ser>
          <c:idx val="2"/>
          <c:order val="2"/>
          <c:tx>
            <c:strRef>
              <c:f>EM_total_2024!$B$9</c:f>
              <c:strCache>
                <c:ptCount val="1"/>
                <c:pt idx="0">
                  <c:v>Alage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EM_total_2024!$G$9:$G$16</c:f>
              <c:numCache>
                <c:formatCode>0.00_ </c:formatCode>
                <c:ptCount val="8"/>
                <c:pt idx="0">
                  <c:v>1.4602349999999999</c:v>
                </c:pt>
                <c:pt idx="1">
                  <c:v>1.3749370000000001</c:v>
                </c:pt>
                <c:pt idx="2">
                  <c:v>1.5395901000000001</c:v>
                </c:pt>
                <c:pt idx="3">
                  <c:v>1.3940493</c:v>
                </c:pt>
                <c:pt idx="4">
                  <c:v>1</c:v>
                </c:pt>
                <c:pt idx="5">
                  <c:v>1.3658755</c:v>
                </c:pt>
                <c:pt idx="6">
                  <c:v>1.3888729</c:v>
                </c:pt>
                <c:pt idx="7">
                  <c:v>1.3366442999999999</c:v>
                </c:pt>
              </c:numCache>
            </c:numRef>
          </c:xVal>
          <c:yVal>
            <c:numRef>
              <c:f>EM_total_2024!$E$9:$E$16</c:f>
              <c:numCache>
                <c:formatCode>0.00_ </c:formatCode>
                <c:ptCount val="8"/>
                <c:pt idx="0">
                  <c:v>7.5397732</c:v>
                </c:pt>
                <c:pt idx="1">
                  <c:v>10.8985</c:v>
                </c:pt>
                <c:pt idx="2">
                  <c:v>5.4716737000000002</c:v>
                </c:pt>
                <c:pt idx="3">
                  <c:v>11.120661</c:v>
                </c:pt>
                <c:pt idx="4">
                  <c:v>46.277571000000002</c:v>
                </c:pt>
                <c:pt idx="5">
                  <c:v>3.4161260000000002</c:v>
                </c:pt>
                <c:pt idx="6">
                  <c:v>19.154025000000001</c:v>
                </c:pt>
                <c:pt idx="7">
                  <c:v>6.8927538999999998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AFD-4FA5-B85F-997B2519C193}"/>
            </c:ext>
          </c:extLst>
        </c:ser>
        <c:ser>
          <c:idx val="3"/>
          <c:order val="3"/>
          <c:tx>
            <c:strRef>
              <c:f>EM_total_2024!$B$17</c:f>
              <c:strCache>
                <c:ptCount val="1"/>
                <c:pt idx="0">
                  <c:v>Compost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EM_total_2024!$G$17:$G$20</c:f>
              <c:numCache>
                <c:formatCode>0.00_ </c:formatCode>
                <c:ptCount val="4"/>
                <c:pt idx="0">
                  <c:v>0.90452336</c:v>
                </c:pt>
                <c:pt idx="1">
                  <c:v>0.63300928999999995</c:v>
                </c:pt>
                <c:pt idx="2">
                  <c:v>1.0092668</c:v>
                </c:pt>
                <c:pt idx="3">
                  <c:v>1.1573837</c:v>
                </c:pt>
              </c:numCache>
            </c:numRef>
          </c:xVal>
          <c:yVal>
            <c:numRef>
              <c:f>EM_total_2024!$E$17:$E$20</c:f>
              <c:numCache>
                <c:formatCode>0.00_ </c:formatCode>
                <c:ptCount val="4"/>
                <c:pt idx="0">
                  <c:v>13.837702</c:v>
                </c:pt>
                <c:pt idx="1">
                  <c:v>2.8329843000000001</c:v>
                </c:pt>
                <c:pt idx="2">
                  <c:v>0.86863380999999995</c:v>
                </c:pt>
                <c:pt idx="3">
                  <c:v>13.028558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AFD-4FA5-B85F-997B2519C193}"/>
            </c:ext>
          </c:extLst>
        </c:ser>
        <c:ser>
          <c:idx val="4"/>
          <c:order val="4"/>
          <c:tx>
            <c:strRef>
              <c:f>EM_total_2024!$B$26</c:f>
              <c:strCache>
                <c:ptCount val="1"/>
                <c:pt idx="0">
                  <c:v>Soil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EM_total_2024!$G$26:$G$48</c:f>
              <c:numCache>
                <c:formatCode>0.00</c:formatCode>
                <c:ptCount val="23"/>
                <c:pt idx="0">
                  <c:v>1.1137896</c:v>
                </c:pt>
                <c:pt idx="1">
                  <c:v>1.3672419</c:v>
                </c:pt>
                <c:pt idx="2">
                  <c:v>1.2168981999999999</c:v>
                </c:pt>
                <c:pt idx="3">
                  <c:v>1.2991196</c:v>
                </c:pt>
                <c:pt idx="4">
                  <c:v>1.2029145999999999</c:v>
                </c:pt>
                <c:pt idx="5">
                  <c:v>1.2702434</c:v>
                </c:pt>
                <c:pt idx="6">
                  <c:v>1.3213185000000001</c:v>
                </c:pt>
                <c:pt idx="7">
                  <c:v>1.2683205</c:v>
                </c:pt>
                <c:pt idx="8">
                  <c:v>0.84980294000000001</c:v>
                </c:pt>
                <c:pt idx="9">
                  <c:v>1.2475295</c:v>
                </c:pt>
                <c:pt idx="10">
                  <c:v>1.4219873999999999</c:v>
                </c:pt>
                <c:pt idx="11">
                  <c:v>1.3522186</c:v>
                </c:pt>
                <c:pt idx="12">
                  <c:v>1.3306944000000001</c:v>
                </c:pt>
                <c:pt idx="13">
                  <c:v>1.2001599000000001</c:v>
                </c:pt>
                <c:pt idx="14">
                  <c:v>1.4363739</c:v>
                </c:pt>
                <c:pt idx="15">
                  <c:v>1.0662522000000001</c:v>
                </c:pt>
                <c:pt idx="16">
                  <c:v>1.3106876000000001</c:v>
                </c:pt>
                <c:pt idx="17">
                  <c:v>1.0282157999999999</c:v>
                </c:pt>
                <c:pt idx="18">
                  <c:v>1.1328384</c:v>
                </c:pt>
                <c:pt idx="22">
                  <c:v>1.2379784</c:v>
                </c:pt>
              </c:numCache>
            </c:numRef>
          </c:xVal>
          <c:yVal>
            <c:numRef>
              <c:f>EM_total_2024!$E$26:$E$48</c:f>
              <c:numCache>
                <c:formatCode>0.00</c:formatCode>
                <c:ptCount val="23"/>
                <c:pt idx="0">
                  <c:v>13.358699</c:v>
                </c:pt>
                <c:pt idx="1">
                  <c:v>4.2631950999999999</c:v>
                </c:pt>
                <c:pt idx="2">
                  <c:v>19.799914000000001</c:v>
                </c:pt>
                <c:pt idx="3">
                  <c:v>17.713673</c:v>
                </c:pt>
                <c:pt idx="4">
                  <c:v>11.703141</c:v>
                </c:pt>
                <c:pt idx="5">
                  <c:v>10.660031</c:v>
                </c:pt>
                <c:pt idx="6">
                  <c:v>4.0775791000000003</c:v>
                </c:pt>
                <c:pt idx="7">
                  <c:v>6.3679626000000003</c:v>
                </c:pt>
                <c:pt idx="8">
                  <c:v>175.63191</c:v>
                </c:pt>
                <c:pt idx="9">
                  <c:v>6.5884904999999998</c:v>
                </c:pt>
                <c:pt idx="10">
                  <c:v>4.5313696999999999</c:v>
                </c:pt>
                <c:pt idx="11">
                  <c:v>4.3217663000000002</c:v>
                </c:pt>
                <c:pt idx="12">
                  <c:v>10.644598</c:v>
                </c:pt>
                <c:pt idx="13">
                  <c:v>4.7711347000000002</c:v>
                </c:pt>
                <c:pt idx="14">
                  <c:v>3.0175786000000002</c:v>
                </c:pt>
                <c:pt idx="15">
                  <c:v>17.553982000000001</c:v>
                </c:pt>
                <c:pt idx="16">
                  <c:v>5.5132121999999999</c:v>
                </c:pt>
                <c:pt idx="17">
                  <c:v>22.721160000000001</c:v>
                </c:pt>
                <c:pt idx="18">
                  <c:v>8.3730086000000004</c:v>
                </c:pt>
                <c:pt idx="22">
                  <c:v>14.321686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AFD-4FA5-B85F-997B2519C193}"/>
            </c:ext>
          </c:extLst>
        </c:ser>
        <c:ser>
          <c:idx val="5"/>
          <c:order val="5"/>
          <c:tx>
            <c:strRef>
              <c:f>EM_total_2024!$B$49</c:f>
              <c:strCache>
                <c:ptCount val="1"/>
                <c:pt idx="0">
                  <c:v>Effluent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EM_total_2024!$G$49:$G$50</c:f>
              <c:numCache>
                <c:formatCode>0.00</c:formatCode>
                <c:ptCount val="2"/>
                <c:pt idx="0">
                  <c:v>1.3419743</c:v>
                </c:pt>
                <c:pt idx="1">
                  <c:v>1.3507718</c:v>
                </c:pt>
              </c:numCache>
            </c:numRef>
          </c:xVal>
          <c:yVal>
            <c:numRef>
              <c:f>EM_total_2024!$E$49:$E$50</c:f>
              <c:numCache>
                <c:formatCode>0.00</c:formatCode>
                <c:ptCount val="2"/>
                <c:pt idx="0">
                  <c:v>4.6149015999999996</c:v>
                </c:pt>
                <c:pt idx="1">
                  <c:v>10.991274000000001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AFD-4FA5-B85F-997B2519C193}"/>
            </c:ext>
          </c:extLst>
        </c:ser>
        <c:ser>
          <c:idx val="6"/>
          <c:order val="6"/>
          <c:tx>
            <c:strRef>
              <c:f>EM_total_2024!$B$54</c:f>
              <c:strCache>
                <c:ptCount val="1"/>
                <c:pt idx="0">
                  <c:v>Sweage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EM_total_2024!$G$54:$G$69</c:f>
              <c:numCache>
                <c:formatCode>0.00</c:formatCode>
                <c:ptCount val="16"/>
                <c:pt idx="0">
                  <c:v>1.5689841</c:v>
                </c:pt>
                <c:pt idx="1">
                  <c:v>1.4963291999999999</c:v>
                </c:pt>
                <c:pt idx="2">
                  <c:v>1.5028785</c:v>
                </c:pt>
                <c:pt idx="3">
                  <c:v>1.5051988999999999</c:v>
                </c:pt>
                <c:pt idx="4">
                  <c:v>1.5697958000000001</c:v>
                </c:pt>
                <c:pt idx="5">
                  <c:v>1.5482205</c:v>
                </c:pt>
                <c:pt idx="6">
                  <c:v>1.5199166</c:v>
                </c:pt>
                <c:pt idx="11" formatCode="0.00_ ">
                  <c:v>1.6120125999999999</c:v>
                </c:pt>
                <c:pt idx="13" formatCode="0.00_ ">
                  <c:v>1.6853969</c:v>
                </c:pt>
                <c:pt idx="14" formatCode="0.00_ ">
                  <c:v>1.5806909</c:v>
                </c:pt>
                <c:pt idx="15" formatCode="0.00_ ">
                  <c:v>1.5301155</c:v>
                </c:pt>
              </c:numCache>
            </c:numRef>
          </c:xVal>
          <c:yVal>
            <c:numRef>
              <c:f>EM_total_2024!$E$54:$E$69</c:f>
              <c:numCache>
                <c:formatCode>0.00</c:formatCode>
                <c:ptCount val="16"/>
                <c:pt idx="0">
                  <c:v>3.0694995</c:v>
                </c:pt>
                <c:pt idx="1">
                  <c:v>2.2891900999999999</c:v>
                </c:pt>
                <c:pt idx="2">
                  <c:v>2.6410182999999998</c:v>
                </c:pt>
                <c:pt idx="3">
                  <c:v>2.4270472000000001</c:v>
                </c:pt>
                <c:pt idx="4">
                  <c:v>3.0674687</c:v>
                </c:pt>
                <c:pt idx="5">
                  <c:v>3.6090258</c:v>
                </c:pt>
                <c:pt idx="6">
                  <c:v>3.1068517999999998</c:v>
                </c:pt>
                <c:pt idx="11" formatCode="0.00_ ">
                  <c:v>2.5410629999999998</c:v>
                </c:pt>
                <c:pt idx="13" formatCode="0.00_ ">
                  <c:v>1.8932445</c:v>
                </c:pt>
                <c:pt idx="14" formatCode="0.00_ ">
                  <c:v>2.8126639999999998</c:v>
                </c:pt>
                <c:pt idx="15" formatCode="0.00_ ">
                  <c:v>3.0038193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AFD-4FA5-B85F-997B2519C193}"/>
            </c:ext>
          </c:extLst>
        </c:ser>
        <c:ser>
          <c:idx val="7"/>
          <c:order val="7"/>
          <c:tx>
            <c:strRef>
              <c:f>EM_total_2024!$B$73</c:f>
              <c:strCache>
                <c:ptCount val="1"/>
                <c:pt idx="0">
                  <c:v>Groundwater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EM_total_2024!$G$73:$G$75</c:f>
              <c:numCache>
                <c:formatCode>0.00</c:formatCode>
                <c:ptCount val="3"/>
                <c:pt idx="0">
                  <c:v>1.6631912</c:v>
                </c:pt>
                <c:pt idx="1">
                  <c:v>1.6990331999999999</c:v>
                </c:pt>
                <c:pt idx="2">
                  <c:v>1.7888577000000001</c:v>
                </c:pt>
              </c:numCache>
            </c:numRef>
          </c:xVal>
          <c:yVal>
            <c:numRef>
              <c:f>EM_total_2024!$E$73:$E$75</c:f>
              <c:numCache>
                <c:formatCode>0.00</c:formatCode>
                <c:ptCount val="3"/>
                <c:pt idx="0">
                  <c:v>3.2409005</c:v>
                </c:pt>
                <c:pt idx="1">
                  <c:v>3.4010318000000002</c:v>
                </c:pt>
                <c:pt idx="2">
                  <c:v>5.2600332999999999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AFD-4FA5-B85F-997B2519C1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8555887"/>
        <c:axId val="868562959"/>
      </c:scatterChart>
      <c:valAx>
        <c:axId val="868555887"/>
        <c:scaling>
          <c:orientation val="minMax"/>
          <c:max val="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b="1"/>
                  <a:t>FI</a:t>
                </a:r>
                <a:endParaRPr lang="ko-KR" b="1"/>
              </a:p>
            </c:rich>
          </c:tx>
          <c:layout>
            <c:manualLayout>
              <c:xMode val="edge"/>
              <c:yMode val="edge"/>
              <c:x val="0.44650226619631761"/>
              <c:y val="0.927555601411165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0.00_ 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68562959"/>
        <c:crosses val="autoZero"/>
        <c:crossBetween val="midCat"/>
        <c:majorUnit val="0.5"/>
      </c:valAx>
      <c:valAx>
        <c:axId val="868562959"/>
        <c:scaling>
          <c:orientation val="minMax"/>
          <c:max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HIX</a:t>
                </a:r>
                <a:endParaRPr lang="ko-KR" b="1"/>
              </a:p>
            </c:rich>
          </c:tx>
          <c:layout>
            <c:manualLayout>
              <c:xMode val="edge"/>
              <c:yMode val="edge"/>
              <c:x val="3.9706484176673731E-3"/>
              <c:y val="0.421409934443032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0_ 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685558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.png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154514</xdr:colOff>
      <xdr:row>7</xdr:row>
      <xdr:rowOff>42333</xdr:rowOff>
    </xdr:from>
    <xdr:to>
      <xdr:col>22</xdr:col>
      <xdr:colOff>251883</xdr:colOff>
      <xdr:row>26</xdr:row>
      <xdr:rowOff>152399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188383</xdr:colOff>
      <xdr:row>18</xdr:row>
      <xdr:rowOff>194734</xdr:rowOff>
    </xdr:from>
    <xdr:to>
      <xdr:col>32</xdr:col>
      <xdr:colOff>285750</xdr:colOff>
      <xdr:row>38</xdr:row>
      <xdr:rowOff>76199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482599</xdr:colOff>
      <xdr:row>45</xdr:row>
      <xdr:rowOff>175685</xdr:rowOff>
    </xdr:from>
    <xdr:to>
      <xdr:col>23</xdr:col>
      <xdr:colOff>579967</xdr:colOff>
      <xdr:row>65</xdr:row>
      <xdr:rowOff>65616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179916</xdr:colOff>
      <xdr:row>39</xdr:row>
      <xdr:rowOff>21167</xdr:rowOff>
    </xdr:from>
    <xdr:to>
      <xdr:col>34</xdr:col>
      <xdr:colOff>277285</xdr:colOff>
      <xdr:row>58</xdr:row>
      <xdr:rowOff>122766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516467</xdr:colOff>
      <xdr:row>27</xdr:row>
      <xdr:rowOff>127000</xdr:rowOff>
    </xdr:from>
    <xdr:to>
      <xdr:col>22</xdr:col>
      <xdr:colOff>613836</xdr:colOff>
      <xdr:row>47</xdr:row>
      <xdr:rowOff>16933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7876199F-F1A7-4121-BFB2-3A021AFEB1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12</xdr:col>
      <xdr:colOff>364067</xdr:colOff>
      <xdr:row>7</xdr:row>
      <xdr:rowOff>8468</xdr:rowOff>
    </xdr:from>
    <xdr:to>
      <xdr:col>22</xdr:col>
      <xdr:colOff>460837</xdr:colOff>
      <xdr:row>26</xdr:row>
      <xdr:rowOff>117890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E82086DA-AD5F-8406-578C-9B4660C181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738534" y="1549401"/>
          <a:ext cx="6785436" cy="42919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423332</xdr:colOff>
      <xdr:row>2</xdr:row>
      <xdr:rowOff>84667</xdr:rowOff>
    </xdr:from>
    <xdr:to>
      <xdr:col>17</xdr:col>
      <xdr:colOff>603249</xdr:colOff>
      <xdr:row>23</xdr:row>
      <xdr:rowOff>117474</xdr:rowOff>
    </xdr:to>
    <xdr:grpSp>
      <xdr:nvGrpSpPr>
        <xdr:cNvPr id="27" name="그룹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GrpSpPr/>
      </xdr:nvGrpSpPr>
      <xdr:grpSpPr>
        <a:xfrm>
          <a:off x="8424332" y="503767"/>
          <a:ext cx="6352117" cy="4433357"/>
          <a:chOff x="8572499" y="1005417"/>
          <a:chExt cx="6371167" cy="4477807"/>
        </a:xfrm>
      </xdr:grpSpPr>
      <xdr:graphicFrame macro="">
        <xdr:nvGraphicFramePr>
          <xdr:cNvPr id="2" name="차트 1">
            <a:extLst>
              <a:ext uri="{FF2B5EF4-FFF2-40B4-BE49-F238E27FC236}">
                <a16:creationId xmlns:a16="http://schemas.microsoft.com/office/drawing/2014/main" id="{00000000-0008-0000-0100-000002000000}"/>
              </a:ext>
            </a:extLst>
          </xdr:cNvPr>
          <xdr:cNvGraphicFramePr/>
        </xdr:nvGraphicFramePr>
        <xdr:xfrm>
          <a:off x="8572499" y="1005417"/>
          <a:ext cx="6371167" cy="447780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16" name="모서리가 둥근 직사각형 15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SpPr/>
        </xdr:nvSpPr>
        <xdr:spPr>
          <a:xfrm>
            <a:off x="11250083" y="3376083"/>
            <a:ext cx="1957916" cy="1469707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7" name="모서리가 둥근 직사각형 16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SpPr/>
        </xdr:nvSpPr>
        <xdr:spPr>
          <a:xfrm>
            <a:off x="11059583" y="3386667"/>
            <a:ext cx="783167" cy="1450059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8" name="모서리가 둥근 직사각형 17">
            <a:extLst>
              <a:ext uri="{FF2B5EF4-FFF2-40B4-BE49-F238E27FC236}">
                <a16:creationId xmlns:a16="http://schemas.microsoft.com/office/drawing/2014/main" id="{00000000-0008-0000-0100-000012000000}"/>
              </a:ext>
            </a:extLst>
          </xdr:cNvPr>
          <xdr:cNvSpPr/>
        </xdr:nvSpPr>
        <xdr:spPr>
          <a:xfrm>
            <a:off x="10170583" y="3376082"/>
            <a:ext cx="1280584" cy="1449917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9" name="모서리가 둥근 직사각형 18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SpPr/>
        </xdr:nvSpPr>
        <xdr:spPr>
          <a:xfrm>
            <a:off x="10593916" y="3005667"/>
            <a:ext cx="836083" cy="257856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 txBox="1"/>
        </xdr:nvSpPr>
        <xdr:spPr>
          <a:xfrm>
            <a:off x="10149412" y="2973917"/>
            <a:ext cx="1047751" cy="23283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algn="ctr"/>
            <a:r>
              <a:rPr lang="en-US" altLang="ko-KR" sz="900" b="1">
                <a:solidFill>
                  <a:srgbClr val="7030A0"/>
                </a:solidFill>
                <a:latin typeface="KoPub돋움체 Bold" panose="00000800000000000000" pitchFamily="2" charset="-127"/>
                <a:ea typeface="KoPub돋움체 Bold" panose="00000800000000000000" pitchFamily="2" charset="-127"/>
                <a:cs typeface="Times New Roman" panose="02020603050405020304" pitchFamily="18" charset="0"/>
              </a:rPr>
              <a:t>NO</a:t>
            </a:r>
            <a:r>
              <a:rPr lang="en-US" altLang="ko-KR" sz="900" b="1" baseline="-25000">
                <a:solidFill>
                  <a:srgbClr val="7030A0"/>
                </a:solidFill>
                <a:latin typeface="KoPub돋움체 Bold" panose="00000800000000000000" pitchFamily="2" charset="-127"/>
                <a:ea typeface="KoPub돋움체 Bold" panose="00000800000000000000" pitchFamily="2" charset="-127"/>
                <a:cs typeface="Times New Roman" panose="02020603050405020304" pitchFamily="18" charset="0"/>
              </a:rPr>
              <a:t>3</a:t>
            </a:r>
            <a:r>
              <a:rPr lang="en-US" altLang="ko-KR" sz="900" b="1" baseline="30000">
                <a:solidFill>
                  <a:srgbClr val="7030A0"/>
                </a:solidFill>
                <a:latin typeface="KoPub돋움체 Bold" panose="00000800000000000000" pitchFamily="2" charset="-127"/>
                <a:ea typeface="KoPub돋움체 Bold" panose="00000800000000000000" pitchFamily="2" charset="-127"/>
                <a:cs typeface="Times New Roman" panose="02020603050405020304" pitchFamily="18" charset="0"/>
              </a:rPr>
              <a:t>-</a:t>
            </a:r>
            <a:r>
              <a:rPr lang="en-US" altLang="ko-KR" sz="900" b="1">
                <a:solidFill>
                  <a:srgbClr val="7030A0"/>
                </a:solidFill>
                <a:latin typeface="KoPub돋움체 Bold" panose="00000800000000000000" pitchFamily="2" charset="-127"/>
                <a:ea typeface="KoPub돋움체 Bold" panose="00000800000000000000" pitchFamily="2" charset="-127"/>
                <a:cs typeface="Times New Roman" panose="02020603050405020304" pitchFamily="18" charset="0"/>
              </a:rPr>
              <a:t> fertilizer</a:t>
            </a:r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 txBox="1"/>
        </xdr:nvSpPr>
        <xdr:spPr>
          <a:xfrm>
            <a:off x="10223499" y="3418415"/>
            <a:ext cx="818610" cy="43391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900" b="1">
                <a:solidFill>
                  <a:srgbClr val="00B050"/>
                </a:solidFill>
                <a:latin typeface="KoPub돋움체 Bold" panose="00000800000000000000" pitchFamily="2" charset="-127"/>
                <a:ea typeface="KoPub돋움체 Bold" panose="00000800000000000000" pitchFamily="2" charset="-127"/>
                <a:cs typeface="Times New Roman" panose="02020603050405020304" pitchFamily="18" charset="0"/>
              </a:rPr>
              <a:t>Inorganic fertillizer</a:t>
            </a:r>
            <a:endParaRPr lang="ko-KR" altLang="en-US" sz="900" b="1" baseline="-25000">
              <a:solidFill>
                <a:srgbClr val="00B050"/>
              </a:solidFill>
              <a:latin typeface="KoPub돋움체 Bold" panose="00000800000000000000" pitchFamily="2" charset="-127"/>
              <a:ea typeface="KoPub돋움체 Bold" panose="00000800000000000000" pitchFamily="2" charset="-127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 txBox="1"/>
        </xdr:nvSpPr>
        <xdr:spPr>
          <a:xfrm>
            <a:off x="11038417" y="3503083"/>
            <a:ext cx="749506" cy="2119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900" b="1">
                <a:solidFill>
                  <a:srgbClr val="FF0000"/>
                </a:solidFill>
                <a:latin typeface="KoPub돋움체 Bold" panose="00000800000000000000" pitchFamily="2" charset="-127"/>
                <a:ea typeface="KoPub돋움체 Bold" panose="00000800000000000000" pitchFamily="2" charset="-127"/>
                <a:cs typeface="Times New Roman" panose="02020603050405020304" pitchFamily="18" charset="0"/>
              </a:rPr>
              <a:t>Soil N</a:t>
            </a:r>
            <a:endParaRPr lang="ko-KR" altLang="en-US" sz="900" b="1" baseline="-25000">
              <a:solidFill>
                <a:srgbClr val="FF0000"/>
              </a:solidFill>
              <a:latin typeface="KoPub돋움체 Bold" panose="00000800000000000000" pitchFamily="2" charset="-127"/>
              <a:ea typeface="KoPub돋움체 Bold" panose="00000800000000000000" pitchFamily="2" charset="-127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SpPr txBox="1"/>
        </xdr:nvSpPr>
        <xdr:spPr>
          <a:xfrm>
            <a:off x="12001500" y="3481917"/>
            <a:ext cx="1141090" cy="33088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900" b="1">
                <a:solidFill>
                  <a:srgbClr val="00B0F0"/>
                </a:solidFill>
                <a:latin typeface="KoPub돋움체 Bold" panose="00000800000000000000" pitchFamily="2" charset="-127"/>
                <a:ea typeface="KoPub돋움체 Bold" panose="00000800000000000000" pitchFamily="2" charset="-127"/>
                <a:cs typeface="Times New Roman" panose="02020603050405020304" pitchFamily="18" charset="0"/>
              </a:rPr>
              <a:t>Manure &amp; Sewage</a:t>
            </a:r>
            <a:endParaRPr lang="ko-KR" altLang="en-US" sz="900" b="1" baseline="-25000">
              <a:solidFill>
                <a:srgbClr val="00B0F0"/>
              </a:solidFill>
              <a:latin typeface="KoPub돋움체 Bold" panose="00000800000000000000" pitchFamily="2" charset="-127"/>
              <a:ea typeface="KoPub돋움체 Bold" panose="00000800000000000000" pitchFamily="2" charset="-127"/>
              <a:cs typeface="Times New Roman" panose="02020603050405020304" pitchFamily="18" charset="0"/>
            </a:endParaRPr>
          </a:p>
        </xdr:txBody>
      </xdr:sp>
      <xdr:sp macro="" textlink="">
        <xdr:nvSpPr>
          <xdr:cNvPr id="24" name="모서리가 둥근 직사각형 9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SpPr/>
        </xdr:nvSpPr>
        <xdr:spPr>
          <a:xfrm>
            <a:off x="10350498" y="1164167"/>
            <a:ext cx="1873251" cy="1545166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100-00001A000000}"/>
              </a:ext>
            </a:extLst>
          </xdr:cNvPr>
          <xdr:cNvSpPr txBox="1"/>
        </xdr:nvSpPr>
        <xdr:spPr>
          <a:xfrm>
            <a:off x="10668000" y="2106083"/>
            <a:ext cx="1407583" cy="42333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algn="l"/>
            <a:r>
              <a:rPr lang="en-US" altLang="ko-KR" sz="900" b="1">
                <a:solidFill>
                  <a:schemeClr val="accent2">
                    <a:lumMod val="75000"/>
                  </a:schemeClr>
                </a:solidFill>
                <a:latin typeface="KoPub돋움체 Bold" panose="00000800000000000000" pitchFamily="2" charset="-127"/>
                <a:ea typeface="KoPub돋움체 Bold" panose="00000800000000000000" pitchFamily="2" charset="-127"/>
                <a:cs typeface="Times New Roman" panose="02020603050405020304" pitchFamily="18" charset="0"/>
              </a:rPr>
              <a:t>Atmospheric NO</a:t>
            </a:r>
            <a:r>
              <a:rPr lang="en-US" altLang="ko-KR" sz="900" b="1" baseline="-25000">
                <a:solidFill>
                  <a:schemeClr val="accent2">
                    <a:lumMod val="75000"/>
                  </a:schemeClr>
                </a:solidFill>
                <a:latin typeface="KoPub돋움체 Bold" panose="00000800000000000000" pitchFamily="2" charset="-127"/>
                <a:ea typeface="KoPub돋움체 Bold" panose="00000800000000000000" pitchFamily="2" charset="-127"/>
                <a:cs typeface="Times New Roman" panose="02020603050405020304" pitchFamily="18" charset="0"/>
              </a:rPr>
              <a:t>3</a:t>
            </a:r>
            <a:r>
              <a:rPr lang="en-US" altLang="ko-KR" sz="900" b="1" baseline="30000">
                <a:solidFill>
                  <a:schemeClr val="accent2">
                    <a:lumMod val="75000"/>
                  </a:schemeClr>
                </a:solidFill>
                <a:latin typeface="KoPub돋움체 Bold" panose="00000800000000000000" pitchFamily="2" charset="-127"/>
                <a:ea typeface="KoPub돋움체 Bold" panose="00000800000000000000" pitchFamily="2" charset="-127"/>
                <a:cs typeface="Times New Roman" panose="02020603050405020304" pitchFamily="18" charset="0"/>
              </a:rPr>
              <a:t>-</a:t>
            </a:r>
            <a:r>
              <a:rPr lang="en-US" altLang="ko-KR" sz="900" b="1">
                <a:solidFill>
                  <a:schemeClr val="accent2">
                    <a:lumMod val="75000"/>
                  </a:schemeClr>
                </a:solidFill>
                <a:latin typeface="KoPub돋움체 Bold" panose="00000800000000000000" pitchFamily="2" charset="-127"/>
                <a:ea typeface="KoPub돋움체 Bold" panose="00000800000000000000" pitchFamily="2" charset="-127"/>
                <a:cs typeface="Times New Roman" panose="02020603050405020304" pitchFamily="18" charset="0"/>
              </a:rPr>
              <a:t> by ion exchange/AgNO</a:t>
            </a:r>
            <a:r>
              <a:rPr lang="en-US" altLang="ko-KR" sz="900" b="1" baseline="-25000">
                <a:solidFill>
                  <a:schemeClr val="accent2">
                    <a:lumMod val="75000"/>
                  </a:schemeClr>
                </a:solidFill>
                <a:latin typeface="KoPub돋움체 Bold" panose="00000800000000000000" pitchFamily="2" charset="-127"/>
                <a:ea typeface="KoPub돋움체 Bold" panose="00000800000000000000" pitchFamily="2" charset="-127"/>
                <a:cs typeface="Times New Roman" panose="02020603050405020304" pitchFamily="18" charset="0"/>
              </a:rPr>
              <a:t>3</a:t>
            </a:r>
            <a:endParaRPr lang="ko-KR" altLang="en-US" sz="900" b="1" baseline="-25000">
              <a:solidFill>
                <a:schemeClr val="accent2">
                  <a:lumMod val="75000"/>
                </a:schemeClr>
              </a:solidFill>
              <a:latin typeface="KoPub돋움체 Bold" panose="00000800000000000000" pitchFamily="2" charset="-127"/>
              <a:ea typeface="KoPub돋움체 Bold" panose="00000800000000000000" pitchFamily="2" charset="-127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8</xdr:col>
      <xdr:colOff>635000</xdr:colOff>
      <xdr:row>26</xdr:row>
      <xdr:rowOff>137585</xdr:rowOff>
    </xdr:from>
    <xdr:to>
      <xdr:col>18</xdr:col>
      <xdr:colOff>127000</xdr:colOff>
      <xdr:row>47</xdr:row>
      <xdr:rowOff>170392</xdr:rowOff>
    </xdr:to>
    <xdr:grpSp>
      <xdr:nvGrpSpPr>
        <xdr:cNvPr id="28" name="그룹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GrpSpPr/>
      </xdr:nvGrpSpPr>
      <xdr:grpSpPr>
        <a:xfrm>
          <a:off x="8636000" y="5585885"/>
          <a:ext cx="6350000" cy="4433357"/>
          <a:chOff x="8572499" y="1005417"/>
          <a:chExt cx="6371167" cy="4477807"/>
        </a:xfrm>
      </xdr:grpSpPr>
      <xdr:graphicFrame macro="">
        <xdr:nvGraphicFramePr>
          <xdr:cNvPr id="29" name="차트 28">
            <a:extLst>
              <a:ext uri="{FF2B5EF4-FFF2-40B4-BE49-F238E27FC236}">
                <a16:creationId xmlns:a16="http://schemas.microsoft.com/office/drawing/2014/main" id="{00000000-0008-0000-0100-00001D000000}"/>
              </a:ext>
            </a:extLst>
          </xdr:cNvPr>
          <xdr:cNvGraphicFramePr/>
        </xdr:nvGraphicFramePr>
        <xdr:xfrm>
          <a:off x="8572499" y="1005417"/>
          <a:ext cx="6371167" cy="447780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30" name="모서리가 둥근 직사각형 29">
            <a:extLst>
              <a:ext uri="{FF2B5EF4-FFF2-40B4-BE49-F238E27FC236}">
                <a16:creationId xmlns:a16="http://schemas.microsoft.com/office/drawing/2014/main" id="{00000000-0008-0000-0100-00001E000000}"/>
              </a:ext>
            </a:extLst>
          </xdr:cNvPr>
          <xdr:cNvSpPr/>
        </xdr:nvSpPr>
        <xdr:spPr>
          <a:xfrm>
            <a:off x="11250083" y="3376083"/>
            <a:ext cx="1957916" cy="1469707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1" name="모서리가 둥근 직사각형 30">
            <a:extLst>
              <a:ext uri="{FF2B5EF4-FFF2-40B4-BE49-F238E27FC236}">
                <a16:creationId xmlns:a16="http://schemas.microsoft.com/office/drawing/2014/main" id="{00000000-0008-0000-0100-00001F000000}"/>
              </a:ext>
            </a:extLst>
          </xdr:cNvPr>
          <xdr:cNvSpPr/>
        </xdr:nvSpPr>
        <xdr:spPr>
          <a:xfrm>
            <a:off x="11059583" y="3386667"/>
            <a:ext cx="783167" cy="1450059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2" name="모서리가 둥근 직사각형 31">
            <a:extLst>
              <a:ext uri="{FF2B5EF4-FFF2-40B4-BE49-F238E27FC236}">
                <a16:creationId xmlns:a16="http://schemas.microsoft.com/office/drawing/2014/main" id="{00000000-0008-0000-0100-000020000000}"/>
              </a:ext>
            </a:extLst>
          </xdr:cNvPr>
          <xdr:cNvSpPr/>
        </xdr:nvSpPr>
        <xdr:spPr>
          <a:xfrm>
            <a:off x="10170583" y="3376082"/>
            <a:ext cx="1280584" cy="1449917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3" name="모서리가 둥근 직사각형 32">
            <a:extLst>
              <a:ext uri="{FF2B5EF4-FFF2-40B4-BE49-F238E27FC236}">
                <a16:creationId xmlns:a16="http://schemas.microsoft.com/office/drawing/2014/main" id="{00000000-0008-0000-0100-000021000000}"/>
              </a:ext>
            </a:extLst>
          </xdr:cNvPr>
          <xdr:cNvSpPr/>
        </xdr:nvSpPr>
        <xdr:spPr>
          <a:xfrm>
            <a:off x="10593916" y="3005667"/>
            <a:ext cx="836083" cy="257856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4" name="TextBox 33">
            <a:extLst>
              <a:ext uri="{FF2B5EF4-FFF2-40B4-BE49-F238E27FC236}">
                <a16:creationId xmlns:a16="http://schemas.microsoft.com/office/drawing/2014/main" id="{00000000-0008-0000-0100-000022000000}"/>
              </a:ext>
            </a:extLst>
          </xdr:cNvPr>
          <xdr:cNvSpPr txBox="1"/>
        </xdr:nvSpPr>
        <xdr:spPr>
          <a:xfrm>
            <a:off x="10149412" y="2973917"/>
            <a:ext cx="1047751" cy="23283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algn="ctr"/>
            <a:r>
              <a:rPr lang="en-US" altLang="ko-KR" sz="900" b="1">
                <a:solidFill>
                  <a:srgbClr val="7030A0"/>
                </a:solidFill>
                <a:latin typeface="KoPub돋움체 Bold" panose="00000800000000000000" pitchFamily="2" charset="-127"/>
                <a:ea typeface="KoPub돋움체 Bold" panose="00000800000000000000" pitchFamily="2" charset="-127"/>
                <a:cs typeface="Times New Roman" panose="02020603050405020304" pitchFamily="18" charset="0"/>
              </a:rPr>
              <a:t>NO</a:t>
            </a:r>
            <a:r>
              <a:rPr lang="en-US" altLang="ko-KR" sz="900" b="1" baseline="-25000">
                <a:solidFill>
                  <a:srgbClr val="7030A0"/>
                </a:solidFill>
                <a:latin typeface="KoPub돋움체 Bold" panose="00000800000000000000" pitchFamily="2" charset="-127"/>
                <a:ea typeface="KoPub돋움체 Bold" panose="00000800000000000000" pitchFamily="2" charset="-127"/>
                <a:cs typeface="Times New Roman" panose="02020603050405020304" pitchFamily="18" charset="0"/>
              </a:rPr>
              <a:t>3</a:t>
            </a:r>
            <a:r>
              <a:rPr lang="en-US" altLang="ko-KR" sz="900" b="1" baseline="30000">
                <a:solidFill>
                  <a:srgbClr val="7030A0"/>
                </a:solidFill>
                <a:latin typeface="KoPub돋움체 Bold" panose="00000800000000000000" pitchFamily="2" charset="-127"/>
                <a:ea typeface="KoPub돋움체 Bold" panose="00000800000000000000" pitchFamily="2" charset="-127"/>
                <a:cs typeface="Times New Roman" panose="02020603050405020304" pitchFamily="18" charset="0"/>
              </a:rPr>
              <a:t>-</a:t>
            </a:r>
            <a:r>
              <a:rPr lang="en-US" altLang="ko-KR" sz="900" b="1">
                <a:solidFill>
                  <a:srgbClr val="7030A0"/>
                </a:solidFill>
                <a:latin typeface="KoPub돋움체 Bold" panose="00000800000000000000" pitchFamily="2" charset="-127"/>
                <a:ea typeface="KoPub돋움체 Bold" panose="00000800000000000000" pitchFamily="2" charset="-127"/>
                <a:cs typeface="Times New Roman" panose="02020603050405020304" pitchFamily="18" charset="0"/>
              </a:rPr>
              <a:t> fertilizer</a:t>
            </a:r>
          </a:p>
        </xdr:txBody>
      </xdr:sp>
      <xdr:sp macro="" textlink="">
        <xdr:nvSpPr>
          <xdr:cNvPr id="35" name="TextBox 34">
            <a:extLst>
              <a:ext uri="{FF2B5EF4-FFF2-40B4-BE49-F238E27FC236}">
                <a16:creationId xmlns:a16="http://schemas.microsoft.com/office/drawing/2014/main" id="{00000000-0008-0000-0100-000023000000}"/>
              </a:ext>
            </a:extLst>
          </xdr:cNvPr>
          <xdr:cNvSpPr txBox="1"/>
        </xdr:nvSpPr>
        <xdr:spPr>
          <a:xfrm>
            <a:off x="10223499" y="3418415"/>
            <a:ext cx="818610" cy="43391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900" b="1">
                <a:solidFill>
                  <a:srgbClr val="00B050"/>
                </a:solidFill>
                <a:latin typeface="KoPub돋움체 Bold" panose="00000800000000000000" pitchFamily="2" charset="-127"/>
                <a:ea typeface="KoPub돋움체 Bold" panose="00000800000000000000" pitchFamily="2" charset="-127"/>
                <a:cs typeface="Times New Roman" panose="02020603050405020304" pitchFamily="18" charset="0"/>
              </a:rPr>
              <a:t>Inorganic fertillizer</a:t>
            </a:r>
            <a:endParaRPr lang="ko-KR" altLang="en-US" sz="900" b="1" baseline="-25000">
              <a:solidFill>
                <a:srgbClr val="00B050"/>
              </a:solidFill>
              <a:latin typeface="KoPub돋움체 Bold" panose="00000800000000000000" pitchFamily="2" charset="-127"/>
              <a:ea typeface="KoPub돋움체 Bold" panose="00000800000000000000" pitchFamily="2" charset="-127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00000000-0008-0000-0100-000024000000}"/>
              </a:ext>
            </a:extLst>
          </xdr:cNvPr>
          <xdr:cNvSpPr txBox="1"/>
        </xdr:nvSpPr>
        <xdr:spPr>
          <a:xfrm>
            <a:off x="11038417" y="3503083"/>
            <a:ext cx="749506" cy="2119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900" b="1">
                <a:solidFill>
                  <a:srgbClr val="FF0000"/>
                </a:solidFill>
                <a:latin typeface="KoPub돋움체 Bold" panose="00000800000000000000" pitchFamily="2" charset="-127"/>
                <a:ea typeface="KoPub돋움체 Bold" panose="00000800000000000000" pitchFamily="2" charset="-127"/>
                <a:cs typeface="Times New Roman" panose="02020603050405020304" pitchFamily="18" charset="0"/>
              </a:rPr>
              <a:t>Soil N</a:t>
            </a:r>
            <a:endParaRPr lang="ko-KR" altLang="en-US" sz="900" b="1" baseline="-25000">
              <a:solidFill>
                <a:srgbClr val="FF0000"/>
              </a:solidFill>
              <a:latin typeface="KoPub돋움체 Bold" panose="00000800000000000000" pitchFamily="2" charset="-127"/>
              <a:ea typeface="KoPub돋움체 Bold" panose="00000800000000000000" pitchFamily="2" charset="-127"/>
              <a:cs typeface="Times New Roman" panose="02020603050405020304" pitchFamily="18" charset="0"/>
            </a:endParaRPr>
          </a:p>
        </xdr:txBody>
      </xdr:sp>
      <xdr:sp macro="" textlink="">
        <xdr:nvSpPr>
          <xdr:cNvPr id="37" name="TextBox 36">
            <a:extLst>
              <a:ext uri="{FF2B5EF4-FFF2-40B4-BE49-F238E27FC236}">
                <a16:creationId xmlns:a16="http://schemas.microsoft.com/office/drawing/2014/main" id="{00000000-0008-0000-0100-000025000000}"/>
              </a:ext>
            </a:extLst>
          </xdr:cNvPr>
          <xdr:cNvSpPr txBox="1"/>
        </xdr:nvSpPr>
        <xdr:spPr>
          <a:xfrm>
            <a:off x="12001500" y="3481917"/>
            <a:ext cx="1141090" cy="33088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900" b="1">
                <a:solidFill>
                  <a:srgbClr val="00B0F0"/>
                </a:solidFill>
                <a:latin typeface="KoPub돋움체 Bold" panose="00000800000000000000" pitchFamily="2" charset="-127"/>
                <a:ea typeface="KoPub돋움체 Bold" panose="00000800000000000000" pitchFamily="2" charset="-127"/>
                <a:cs typeface="Times New Roman" panose="02020603050405020304" pitchFamily="18" charset="0"/>
              </a:rPr>
              <a:t>Manure &amp; Sewage</a:t>
            </a:r>
            <a:endParaRPr lang="ko-KR" altLang="en-US" sz="900" b="1" baseline="-25000">
              <a:solidFill>
                <a:srgbClr val="00B0F0"/>
              </a:solidFill>
              <a:latin typeface="KoPub돋움체 Bold" panose="00000800000000000000" pitchFamily="2" charset="-127"/>
              <a:ea typeface="KoPub돋움체 Bold" panose="00000800000000000000" pitchFamily="2" charset="-127"/>
              <a:cs typeface="Times New Roman" panose="02020603050405020304" pitchFamily="18" charset="0"/>
            </a:endParaRPr>
          </a:p>
        </xdr:txBody>
      </xdr:sp>
      <xdr:sp macro="" textlink="">
        <xdr:nvSpPr>
          <xdr:cNvPr id="38" name="모서리가 둥근 직사각형 9">
            <a:extLst>
              <a:ext uri="{FF2B5EF4-FFF2-40B4-BE49-F238E27FC236}">
                <a16:creationId xmlns:a16="http://schemas.microsoft.com/office/drawing/2014/main" id="{00000000-0008-0000-0100-000026000000}"/>
              </a:ext>
            </a:extLst>
          </xdr:cNvPr>
          <xdr:cNvSpPr/>
        </xdr:nvSpPr>
        <xdr:spPr>
          <a:xfrm>
            <a:off x="10350498" y="1164167"/>
            <a:ext cx="1873251" cy="1545166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00000000-0008-0000-0100-000027000000}"/>
              </a:ext>
            </a:extLst>
          </xdr:cNvPr>
          <xdr:cNvSpPr txBox="1"/>
        </xdr:nvSpPr>
        <xdr:spPr>
          <a:xfrm>
            <a:off x="10668000" y="2106083"/>
            <a:ext cx="1407583" cy="42333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algn="l"/>
            <a:r>
              <a:rPr lang="en-US" altLang="ko-KR" sz="900" b="1">
                <a:solidFill>
                  <a:schemeClr val="accent2">
                    <a:lumMod val="75000"/>
                  </a:schemeClr>
                </a:solidFill>
                <a:latin typeface="KoPub돋움체 Bold" panose="00000800000000000000" pitchFamily="2" charset="-127"/>
                <a:ea typeface="KoPub돋움체 Bold" panose="00000800000000000000" pitchFamily="2" charset="-127"/>
                <a:cs typeface="Times New Roman" panose="02020603050405020304" pitchFamily="18" charset="0"/>
              </a:rPr>
              <a:t>Atmospheric NO</a:t>
            </a:r>
            <a:r>
              <a:rPr lang="en-US" altLang="ko-KR" sz="900" b="1" baseline="-25000">
                <a:solidFill>
                  <a:schemeClr val="accent2">
                    <a:lumMod val="75000"/>
                  </a:schemeClr>
                </a:solidFill>
                <a:latin typeface="KoPub돋움체 Bold" panose="00000800000000000000" pitchFamily="2" charset="-127"/>
                <a:ea typeface="KoPub돋움체 Bold" panose="00000800000000000000" pitchFamily="2" charset="-127"/>
                <a:cs typeface="Times New Roman" panose="02020603050405020304" pitchFamily="18" charset="0"/>
              </a:rPr>
              <a:t>3</a:t>
            </a:r>
            <a:r>
              <a:rPr lang="en-US" altLang="ko-KR" sz="900" b="1" baseline="30000">
                <a:solidFill>
                  <a:schemeClr val="accent2">
                    <a:lumMod val="75000"/>
                  </a:schemeClr>
                </a:solidFill>
                <a:latin typeface="KoPub돋움체 Bold" panose="00000800000000000000" pitchFamily="2" charset="-127"/>
                <a:ea typeface="KoPub돋움체 Bold" panose="00000800000000000000" pitchFamily="2" charset="-127"/>
                <a:cs typeface="Times New Roman" panose="02020603050405020304" pitchFamily="18" charset="0"/>
              </a:rPr>
              <a:t>-</a:t>
            </a:r>
            <a:r>
              <a:rPr lang="en-US" altLang="ko-KR" sz="900" b="1">
                <a:solidFill>
                  <a:schemeClr val="accent2">
                    <a:lumMod val="75000"/>
                  </a:schemeClr>
                </a:solidFill>
                <a:latin typeface="KoPub돋움체 Bold" panose="00000800000000000000" pitchFamily="2" charset="-127"/>
                <a:ea typeface="KoPub돋움체 Bold" panose="00000800000000000000" pitchFamily="2" charset="-127"/>
                <a:cs typeface="Times New Roman" panose="02020603050405020304" pitchFamily="18" charset="0"/>
              </a:rPr>
              <a:t> by ion exchange/AgNO</a:t>
            </a:r>
            <a:r>
              <a:rPr lang="en-US" altLang="ko-KR" sz="900" b="1" baseline="-25000">
                <a:solidFill>
                  <a:schemeClr val="accent2">
                    <a:lumMod val="75000"/>
                  </a:schemeClr>
                </a:solidFill>
                <a:latin typeface="KoPub돋움체 Bold" panose="00000800000000000000" pitchFamily="2" charset="-127"/>
                <a:ea typeface="KoPub돋움체 Bold" panose="00000800000000000000" pitchFamily="2" charset="-127"/>
                <a:cs typeface="Times New Roman" panose="02020603050405020304" pitchFamily="18" charset="0"/>
              </a:rPr>
              <a:t>3</a:t>
            </a:r>
            <a:endParaRPr lang="ko-KR" altLang="en-US" sz="900" b="1" baseline="-25000">
              <a:solidFill>
                <a:schemeClr val="accent2">
                  <a:lumMod val="75000"/>
                </a:schemeClr>
              </a:solidFill>
              <a:latin typeface="KoPub돋움체 Bold" panose="00000800000000000000" pitchFamily="2" charset="-127"/>
              <a:ea typeface="KoPub돋움체 Bold" panose="00000800000000000000" pitchFamily="2" charset="-127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179917</xdr:colOff>
      <xdr:row>10</xdr:row>
      <xdr:rowOff>63499</xdr:rowOff>
    </xdr:from>
    <xdr:to>
      <xdr:col>17</xdr:col>
      <xdr:colOff>343038</xdr:colOff>
      <xdr:row>24</xdr:row>
      <xdr:rowOff>129854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11296650" y="2264832"/>
          <a:ext cx="3507455" cy="3148222"/>
          <a:chOff x="47255206" y="212913"/>
          <a:chExt cx="3602705" cy="3039492"/>
        </a:xfrm>
      </xdr:grpSpPr>
      <xdr:grpSp>
        <xdr:nvGrpSpPr>
          <xdr:cNvPr id="3" name="그룹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GrpSpPr/>
        </xdr:nvGrpSpPr>
        <xdr:grpSpPr>
          <a:xfrm>
            <a:off x="47255206" y="212913"/>
            <a:ext cx="3602705" cy="3039492"/>
            <a:chOff x="9510958" y="2957513"/>
            <a:chExt cx="3204917" cy="3005977"/>
          </a:xfrm>
        </xdr:grpSpPr>
        <xdr:graphicFrame macro="">
          <xdr:nvGraphicFramePr>
            <xdr:cNvPr id="5" name="차트 4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GraphicFramePr/>
          </xdr:nvGraphicFramePr>
          <xdr:xfrm>
            <a:off x="9715500" y="2957513"/>
            <a:ext cx="3000375" cy="2833687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  <xdr:sp macro="" textlink="">
          <xdr:nvSpPr>
            <xdr:cNvPr id="6" name="모서리가 둥근 직사각형 5">
              <a:extLst>
                <a:ext uri="{FF2B5EF4-FFF2-40B4-BE49-F238E27FC236}">
                  <a16:creationId xmlns:a16="http://schemas.microsoft.com/office/drawing/2014/main" id="{00000000-0008-0000-0200-000006000000}"/>
                </a:ext>
              </a:extLst>
            </xdr:cNvPr>
            <xdr:cNvSpPr/>
          </xdr:nvSpPr>
          <xdr:spPr>
            <a:xfrm>
              <a:off x="10791370" y="4354078"/>
              <a:ext cx="602546" cy="1071193"/>
            </a:xfrm>
            <a:prstGeom prst="roundRect">
              <a:avLst/>
            </a:prstGeom>
            <a:noFill/>
            <a:ln w="9525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7" name="모서리가 둥근 직사각형 6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:cNvPr>
            <xdr:cNvSpPr/>
          </xdr:nvSpPr>
          <xdr:spPr>
            <a:xfrm>
              <a:off x="10923178" y="4354078"/>
              <a:ext cx="1553442" cy="1069685"/>
            </a:xfrm>
            <a:prstGeom prst="roundRect">
              <a:avLst/>
            </a:prstGeom>
            <a:noFill/>
            <a:ln w="9525">
              <a:solidFill>
                <a:srgbClr val="00B0F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8" name="모서리가 둥근 직사각형 7">
              <a:extLst>
                <a:ext uri="{FF2B5EF4-FFF2-40B4-BE49-F238E27FC236}">
                  <a16:creationId xmlns:a16="http://schemas.microsoft.com/office/drawing/2014/main" id="{00000000-0008-0000-0200-000008000000}"/>
                </a:ext>
              </a:extLst>
            </xdr:cNvPr>
            <xdr:cNvSpPr/>
          </xdr:nvSpPr>
          <xdr:spPr>
            <a:xfrm>
              <a:off x="10169994" y="4354079"/>
              <a:ext cx="913234" cy="1071187"/>
            </a:xfrm>
            <a:prstGeom prst="roundRect">
              <a:avLst/>
            </a:prstGeom>
            <a:noFill/>
            <a:ln w="9525">
              <a:solidFill>
                <a:srgbClr val="00B05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00000000-0008-0000-0200-000009000000}"/>
                </a:ext>
              </a:extLst>
            </xdr:cNvPr>
            <xdr:cNvSpPr txBox="1"/>
          </xdr:nvSpPr>
          <xdr:spPr>
            <a:xfrm>
              <a:off x="10785174" y="5689890"/>
              <a:ext cx="1008000" cy="2736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square" rtlCol="0" anchor="ctr" anchorCtr="1">
              <a:spAutoFit/>
            </a:bodyPr>
            <a:lstStyle/>
            <a:p>
              <a:r>
                <a:rPr lang="en-US" altLang="ko-KR" sz="1200" b="1" baseline="30000">
                  <a:latin typeface="Times New Roman" panose="02020603050405020304" pitchFamily="18" charset="0"/>
                  <a:cs typeface="Times New Roman" panose="02020603050405020304" pitchFamily="18" charset="0"/>
                </a:rPr>
                <a:t>15</a:t>
              </a:r>
              <a:r>
                <a:rPr lang="en-US" altLang="ko-KR" sz="1200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N-NO</a:t>
              </a:r>
              <a:r>
                <a:rPr lang="en-US" altLang="ko-KR" sz="1200" b="1" baseline="-25000">
                  <a:latin typeface="Times New Roman" panose="02020603050405020304" pitchFamily="18" charset="0"/>
                  <a:cs typeface="Times New Roman" panose="02020603050405020304" pitchFamily="18" charset="0"/>
                </a:rPr>
                <a:t>3 </a:t>
              </a:r>
              <a:r>
                <a:rPr lang="en-US" altLang="ko-KR" sz="1200" b="1" baseline="0">
                  <a:latin typeface="Times New Roman" panose="02020603050405020304" pitchFamily="18" charset="0"/>
                  <a:cs typeface="Times New Roman" panose="02020603050405020304" pitchFamily="18" charset="0"/>
                </a:rPr>
                <a:t>(‰)</a:t>
              </a:r>
              <a:endParaRPr lang="ko-KR" altLang="en-US" sz="1200" b="1" baseline="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0000000-0008-0000-0200-00000A000000}"/>
                </a:ext>
              </a:extLst>
            </xdr:cNvPr>
            <xdr:cNvSpPr txBox="1"/>
          </xdr:nvSpPr>
          <xdr:spPr>
            <a:xfrm rot="16200000">
              <a:off x="9121663" y="4142141"/>
              <a:ext cx="1052512" cy="27392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1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altLang="ko-KR" sz="1200" b="1" baseline="30000">
                  <a:latin typeface="Times New Roman" panose="02020603050405020304" pitchFamily="18" charset="0"/>
                  <a:cs typeface="Times New Roman" panose="02020603050405020304" pitchFamily="18" charset="0"/>
                </a:rPr>
                <a:t>18</a:t>
              </a:r>
              <a:r>
                <a:rPr lang="en-US" altLang="ko-KR" sz="1200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O-NO</a:t>
              </a:r>
              <a:r>
                <a:rPr lang="en-US" altLang="ko-KR" sz="1200" b="1" baseline="-25000">
                  <a:latin typeface="Times New Roman" panose="02020603050405020304" pitchFamily="18" charset="0"/>
                  <a:cs typeface="Times New Roman" panose="02020603050405020304" pitchFamily="18" charset="0"/>
                </a:rPr>
                <a:t>3 </a:t>
              </a:r>
              <a:r>
                <a:rPr lang="en-US" altLang="ko-KR" sz="1100" b="1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(‰)</a:t>
              </a:r>
              <a:endParaRPr lang="ko-KR" altLang="ko-KR" sz="1200">
                <a:effectLst/>
              </a:endParaRPr>
            </a:p>
          </xdr:txBody>
        </xdr:sp>
        <xdr:sp macro="" textlink="">
          <xdr:nvSpPr>
            <xdr:cNvPr id="11" name="모서리가 둥근 직사각형 10">
              <a:extLst>
                <a:ext uri="{FF2B5EF4-FFF2-40B4-BE49-F238E27FC236}">
                  <a16:creationId xmlns:a16="http://schemas.microsoft.com/office/drawing/2014/main" id="{00000000-0008-0000-0200-00000B000000}"/>
                </a:ext>
              </a:extLst>
            </xdr:cNvPr>
            <xdr:cNvSpPr/>
          </xdr:nvSpPr>
          <xdr:spPr>
            <a:xfrm>
              <a:off x="10428976" y="4007562"/>
              <a:ext cx="663667" cy="255838"/>
            </a:xfrm>
            <a:prstGeom prst="roundRect">
              <a:avLst/>
            </a:prstGeom>
            <a:noFill/>
            <a:ln w="9525">
              <a:solidFill>
                <a:srgbClr val="7030A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0000000-0008-0000-0200-00000C000000}"/>
                </a:ext>
              </a:extLst>
            </xdr:cNvPr>
            <xdr:cNvSpPr txBox="1"/>
          </xdr:nvSpPr>
          <xdr:spPr>
            <a:xfrm>
              <a:off x="11527788" y="5099620"/>
              <a:ext cx="666750" cy="32829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1">
              <a:spAutoFit/>
            </a:bodyPr>
            <a:lstStyle/>
            <a:p>
              <a:r>
                <a:rPr lang="en-US" altLang="ko-KR" sz="800" b="1">
                  <a:solidFill>
                    <a:srgbClr val="00B0F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Manure &amp; Sewage</a:t>
              </a:r>
              <a:endParaRPr lang="ko-KR" altLang="en-US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00000000-0008-0000-0200-00000D000000}"/>
                </a:ext>
              </a:extLst>
            </xdr:cNvPr>
            <xdr:cNvSpPr txBox="1"/>
          </xdr:nvSpPr>
          <xdr:spPr>
            <a:xfrm>
              <a:off x="10838523" y="5140912"/>
              <a:ext cx="666750" cy="21031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1">
              <a:spAutoFit/>
            </a:bodyPr>
            <a:lstStyle/>
            <a:p>
              <a:r>
                <a:rPr lang="en-US" altLang="ko-KR" sz="800" b="1">
                  <a:solidFill>
                    <a:srgbClr val="FF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Soil N</a:t>
              </a:r>
              <a:endParaRPr lang="ko-KR" altLang="en-US" sz="800" b="1" baseline="-2500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00000000-0008-0000-0200-00000E000000}"/>
                </a:ext>
              </a:extLst>
            </xdr:cNvPr>
            <xdr:cNvSpPr txBox="1"/>
          </xdr:nvSpPr>
          <xdr:spPr>
            <a:xfrm>
              <a:off x="10527757" y="3981616"/>
              <a:ext cx="536644" cy="32572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1">
              <a:spAutoFit/>
            </a:bodyPr>
            <a:lstStyle/>
            <a:p>
              <a:pPr algn="ctr"/>
              <a:r>
                <a:rPr lang="en-US" altLang="ko-KR" sz="800" b="1">
                  <a:solidFill>
                    <a:srgbClr val="7030A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NO</a:t>
              </a:r>
              <a:r>
                <a:rPr lang="en-US" altLang="ko-KR" sz="800" b="1" baseline="-25000">
                  <a:solidFill>
                    <a:srgbClr val="7030A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3</a:t>
              </a:r>
              <a:r>
                <a:rPr lang="en-US" altLang="ko-KR" sz="800" b="1" baseline="30000">
                  <a:solidFill>
                    <a:srgbClr val="7030A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-</a:t>
              </a:r>
              <a:r>
                <a:rPr lang="en-US" altLang="ko-KR" sz="800" b="1">
                  <a:solidFill>
                    <a:srgbClr val="7030A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</a:t>
              </a:r>
            </a:p>
            <a:p>
              <a:pPr algn="ctr"/>
              <a:r>
                <a:rPr lang="en-US" altLang="ko-KR" sz="800" b="1">
                  <a:solidFill>
                    <a:srgbClr val="7030A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fertilizer</a:t>
              </a:r>
            </a:p>
          </xdr:txBody>
        </xdr:sp>
      </xdr:grp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 txBox="1"/>
        </xdr:nvSpPr>
        <xdr:spPr>
          <a:xfrm>
            <a:off x="47889255" y="1827122"/>
            <a:ext cx="818610" cy="36582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190500</xdr:colOff>
      <xdr:row>36</xdr:row>
      <xdr:rowOff>95250</xdr:rowOff>
    </xdr:from>
    <xdr:to>
      <xdr:col>16</xdr:col>
      <xdr:colOff>353623</xdr:colOff>
      <xdr:row>50</xdr:row>
      <xdr:rowOff>161607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11144250" y="7715250"/>
          <a:ext cx="3602706" cy="3029690"/>
          <a:chOff x="47255206" y="212912"/>
          <a:chExt cx="3602706" cy="3039493"/>
        </a:xfrm>
      </xdr:grpSpPr>
      <xdr:grpSp>
        <xdr:nvGrpSpPr>
          <xdr:cNvPr id="3" name="그룹 2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GrpSpPr/>
        </xdr:nvGrpSpPr>
        <xdr:grpSpPr>
          <a:xfrm>
            <a:off x="47255206" y="212912"/>
            <a:ext cx="3602706" cy="3039493"/>
            <a:chOff x="9510958" y="2957512"/>
            <a:chExt cx="3204918" cy="3005978"/>
          </a:xfrm>
        </xdr:grpSpPr>
        <xdr:graphicFrame macro="">
          <xdr:nvGraphicFramePr>
            <xdr:cNvPr id="5" name="차트 4">
              <a:extLst>
                <a:ext uri="{FF2B5EF4-FFF2-40B4-BE49-F238E27FC236}">
                  <a16:creationId xmlns:a16="http://schemas.microsoft.com/office/drawing/2014/main" id="{00000000-0008-0000-0300-000005000000}"/>
                </a:ext>
              </a:extLst>
            </xdr:cNvPr>
            <xdr:cNvGraphicFramePr/>
          </xdr:nvGraphicFramePr>
          <xdr:xfrm>
            <a:off x="9715500" y="2957512"/>
            <a:ext cx="3000376" cy="2833688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  <xdr:sp macro="" textlink="">
          <xdr:nvSpPr>
            <xdr:cNvPr id="6" name="모서리가 둥근 직사각형 5">
              <a:extLst>
                <a:ext uri="{FF2B5EF4-FFF2-40B4-BE49-F238E27FC236}">
                  <a16:creationId xmlns:a16="http://schemas.microsoft.com/office/drawing/2014/main" id="{00000000-0008-0000-0300-000006000000}"/>
                </a:ext>
              </a:extLst>
            </xdr:cNvPr>
            <xdr:cNvSpPr/>
          </xdr:nvSpPr>
          <xdr:spPr>
            <a:xfrm>
              <a:off x="10782492" y="3590064"/>
              <a:ext cx="615201" cy="1835208"/>
            </a:xfrm>
            <a:prstGeom prst="roundRect">
              <a:avLst/>
            </a:prstGeom>
            <a:noFill/>
            <a:ln w="9525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7" name="모서리가 둥근 직사각형 6">
              <a:extLst>
                <a:ext uri="{FF2B5EF4-FFF2-40B4-BE49-F238E27FC236}">
                  <a16:creationId xmlns:a16="http://schemas.microsoft.com/office/drawing/2014/main" id="{00000000-0008-0000-0300-000007000000}"/>
                </a:ext>
              </a:extLst>
            </xdr:cNvPr>
            <xdr:cNvSpPr/>
          </xdr:nvSpPr>
          <xdr:spPr>
            <a:xfrm>
              <a:off x="10883175" y="3588556"/>
              <a:ext cx="1586570" cy="1835208"/>
            </a:xfrm>
            <a:prstGeom prst="roundRect">
              <a:avLst/>
            </a:prstGeom>
            <a:noFill/>
            <a:ln w="9525">
              <a:solidFill>
                <a:srgbClr val="00B0F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8" name="모서리가 둥근 직사각형 7">
              <a:extLst>
                <a:ext uri="{FF2B5EF4-FFF2-40B4-BE49-F238E27FC236}">
                  <a16:creationId xmlns:a16="http://schemas.microsoft.com/office/drawing/2014/main" id="{00000000-0008-0000-0300-000008000000}"/>
                </a:ext>
              </a:extLst>
            </xdr:cNvPr>
            <xdr:cNvSpPr/>
          </xdr:nvSpPr>
          <xdr:spPr>
            <a:xfrm>
              <a:off x="10100030" y="3590058"/>
              <a:ext cx="971370" cy="1835208"/>
            </a:xfrm>
            <a:prstGeom prst="roundRect">
              <a:avLst/>
            </a:prstGeom>
            <a:noFill/>
            <a:ln w="9525">
              <a:solidFill>
                <a:srgbClr val="00B05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00000000-0008-0000-0300-000009000000}"/>
                </a:ext>
              </a:extLst>
            </xdr:cNvPr>
            <xdr:cNvSpPr txBox="1"/>
          </xdr:nvSpPr>
          <xdr:spPr>
            <a:xfrm>
              <a:off x="10785174" y="5689890"/>
              <a:ext cx="1008000" cy="2736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square" rtlCol="0" anchor="ctr" anchorCtr="1">
              <a:spAutoFit/>
            </a:bodyPr>
            <a:lstStyle/>
            <a:p>
              <a:r>
                <a:rPr lang="en-US" altLang="ko-KR" sz="1200" b="1" baseline="30000">
                  <a:latin typeface="Times New Roman" panose="02020603050405020304" pitchFamily="18" charset="0"/>
                  <a:cs typeface="Times New Roman" panose="02020603050405020304" pitchFamily="18" charset="0"/>
                </a:rPr>
                <a:t>15</a:t>
              </a:r>
              <a:r>
                <a:rPr lang="en-US" altLang="ko-KR" sz="1200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N-NO</a:t>
              </a:r>
              <a:r>
                <a:rPr lang="en-US" altLang="ko-KR" sz="1200" b="1" baseline="-25000">
                  <a:latin typeface="Times New Roman" panose="02020603050405020304" pitchFamily="18" charset="0"/>
                  <a:cs typeface="Times New Roman" panose="02020603050405020304" pitchFamily="18" charset="0"/>
                </a:rPr>
                <a:t>3 </a:t>
              </a:r>
              <a:r>
                <a:rPr lang="en-US" altLang="ko-KR" sz="1200" b="1" baseline="0">
                  <a:latin typeface="Times New Roman" panose="02020603050405020304" pitchFamily="18" charset="0"/>
                  <a:cs typeface="Times New Roman" panose="02020603050405020304" pitchFamily="18" charset="0"/>
                </a:rPr>
                <a:t>(‰)</a:t>
              </a:r>
              <a:endParaRPr lang="ko-KR" altLang="en-US" sz="1200" b="1" baseline="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0000000-0008-0000-0300-00000A000000}"/>
                </a:ext>
              </a:extLst>
            </xdr:cNvPr>
            <xdr:cNvSpPr txBox="1"/>
          </xdr:nvSpPr>
          <xdr:spPr>
            <a:xfrm rot="16200000">
              <a:off x="9121663" y="4142141"/>
              <a:ext cx="1052512" cy="27392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1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altLang="ko-KR" sz="1200" b="1" baseline="30000">
                  <a:latin typeface="Times New Roman" panose="02020603050405020304" pitchFamily="18" charset="0"/>
                  <a:cs typeface="Times New Roman" panose="02020603050405020304" pitchFamily="18" charset="0"/>
                </a:rPr>
                <a:t>18</a:t>
              </a:r>
              <a:r>
                <a:rPr lang="en-US" altLang="ko-KR" sz="1200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O-NO</a:t>
              </a:r>
              <a:r>
                <a:rPr lang="en-US" altLang="ko-KR" sz="1200" b="1" baseline="-25000">
                  <a:latin typeface="Times New Roman" panose="02020603050405020304" pitchFamily="18" charset="0"/>
                  <a:cs typeface="Times New Roman" panose="02020603050405020304" pitchFamily="18" charset="0"/>
                </a:rPr>
                <a:t>3 </a:t>
              </a:r>
              <a:r>
                <a:rPr lang="en-US" altLang="ko-KR" sz="1100" b="1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(‰)</a:t>
              </a:r>
              <a:endParaRPr lang="ko-KR" altLang="ko-KR" sz="1200">
                <a:effectLst/>
              </a:endParaRPr>
            </a:p>
          </xdr:txBody>
        </xdr:sp>
        <xdr:sp macro="" textlink="">
          <xdr:nvSpPr>
            <xdr:cNvPr id="11" name="모서리가 둥근 직사각형 10">
              <a:extLst>
                <a:ext uri="{FF2B5EF4-FFF2-40B4-BE49-F238E27FC236}">
                  <a16:creationId xmlns:a16="http://schemas.microsoft.com/office/drawing/2014/main" id="{00000000-0008-0000-0300-00000B000000}"/>
                </a:ext>
              </a:extLst>
            </xdr:cNvPr>
            <xdr:cNvSpPr/>
          </xdr:nvSpPr>
          <xdr:spPr>
            <a:xfrm>
              <a:off x="10363073" y="3124735"/>
              <a:ext cx="744717" cy="351127"/>
            </a:xfrm>
            <a:prstGeom prst="roundRect">
              <a:avLst/>
            </a:prstGeom>
            <a:noFill/>
            <a:ln w="9525">
              <a:solidFill>
                <a:srgbClr val="7030A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0000000-0008-0000-0300-00000C000000}"/>
                </a:ext>
              </a:extLst>
            </xdr:cNvPr>
            <xdr:cNvSpPr txBox="1"/>
          </xdr:nvSpPr>
          <xdr:spPr>
            <a:xfrm>
              <a:off x="11527788" y="5099620"/>
              <a:ext cx="666750" cy="32829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1">
              <a:spAutoFit/>
            </a:bodyPr>
            <a:lstStyle/>
            <a:p>
              <a:r>
                <a:rPr lang="en-US" altLang="ko-KR" sz="800" b="1">
                  <a:solidFill>
                    <a:srgbClr val="00B0F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Manure &amp; Sewage</a:t>
              </a:r>
              <a:endParaRPr lang="ko-KR" altLang="en-US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00000000-0008-0000-0300-00000D000000}"/>
                </a:ext>
              </a:extLst>
            </xdr:cNvPr>
            <xdr:cNvSpPr txBox="1"/>
          </xdr:nvSpPr>
          <xdr:spPr>
            <a:xfrm>
              <a:off x="10838523" y="5140912"/>
              <a:ext cx="666750" cy="21031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1">
              <a:spAutoFit/>
            </a:bodyPr>
            <a:lstStyle/>
            <a:p>
              <a:r>
                <a:rPr lang="en-US" altLang="ko-KR" sz="800" b="1">
                  <a:solidFill>
                    <a:srgbClr val="FF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Soil N</a:t>
              </a:r>
              <a:endParaRPr lang="ko-KR" altLang="en-US" sz="800" b="1" baseline="-2500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00000000-0008-0000-0300-00000E000000}"/>
                </a:ext>
              </a:extLst>
            </xdr:cNvPr>
            <xdr:cNvSpPr txBox="1"/>
          </xdr:nvSpPr>
          <xdr:spPr>
            <a:xfrm>
              <a:off x="10443369" y="3144701"/>
              <a:ext cx="582822" cy="32815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1">
              <a:spAutoFit/>
            </a:bodyPr>
            <a:lstStyle/>
            <a:p>
              <a:pPr algn="ctr"/>
              <a:r>
                <a:rPr lang="en-US" altLang="ko-KR" sz="800" b="1">
                  <a:solidFill>
                    <a:srgbClr val="7030A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NO</a:t>
              </a:r>
              <a:r>
                <a:rPr lang="en-US" altLang="ko-KR" sz="800" b="1" baseline="-25000">
                  <a:solidFill>
                    <a:srgbClr val="7030A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3</a:t>
              </a:r>
              <a:r>
                <a:rPr lang="en-US" altLang="ko-KR" sz="800" b="1" baseline="30000">
                  <a:solidFill>
                    <a:srgbClr val="7030A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-</a:t>
              </a:r>
              <a:r>
                <a:rPr lang="en-US" altLang="ko-KR" sz="800" b="1">
                  <a:solidFill>
                    <a:srgbClr val="7030A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</a:t>
              </a:r>
            </a:p>
            <a:p>
              <a:pPr algn="ctr"/>
              <a:r>
                <a:rPr lang="en-US" altLang="ko-KR" sz="800" b="1">
                  <a:solidFill>
                    <a:srgbClr val="7030A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fertilizer</a:t>
              </a:r>
            </a:p>
          </xdr:txBody>
        </xdr:sp>
      </xdr:grp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SpPr txBox="1"/>
        </xdr:nvSpPr>
        <xdr:spPr>
          <a:xfrm>
            <a:off x="47889255" y="1827122"/>
            <a:ext cx="818610" cy="36582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11</xdr:col>
      <xdr:colOff>89955</xdr:colOff>
      <xdr:row>1</xdr:row>
      <xdr:rowOff>41274</xdr:rowOff>
    </xdr:from>
    <xdr:to>
      <xdr:col>19</xdr:col>
      <xdr:colOff>179915</xdr:colOff>
      <xdr:row>18</xdr:row>
      <xdr:rowOff>0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328083</xdr:colOff>
      <xdr:row>1</xdr:row>
      <xdr:rowOff>84666</xdr:rowOff>
    </xdr:from>
    <xdr:to>
      <xdr:col>27</xdr:col>
      <xdr:colOff>418043</xdr:colOff>
      <xdr:row>18</xdr:row>
      <xdr:rowOff>43392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211665</xdr:colOff>
      <xdr:row>51</xdr:row>
      <xdr:rowOff>31751</xdr:rowOff>
    </xdr:from>
    <xdr:to>
      <xdr:col>16</xdr:col>
      <xdr:colOff>374787</xdr:colOff>
      <xdr:row>65</xdr:row>
      <xdr:rowOff>98106</xdr:rowOff>
    </xdr:to>
    <xdr:grpSp>
      <xdr:nvGrpSpPr>
        <xdr:cNvPr id="17" name="그룹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GrpSpPr/>
      </xdr:nvGrpSpPr>
      <xdr:grpSpPr>
        <a:xfrm>
          <a:off x="11165415" y="10826751"/>
          <a:ext cx="3602705" cy="3029688"/>
          <a:chOff x="47255206" y="212913"/>
          <a:chExt cx="3602705" cy="3039492"/>
        </a:xfrm>
      </xdr:grpSpPr>
      <xdr:grpSp>
        <xdr:nvGrpSpPr>
          <xdr:cNvPr id="18" name="그룹 17">
            <a:extLst>
              <a:ext uri="{FF2B5EF4-FFF2-40B4-BE49-F238E27FC236}">
                <a16:creationId xmlns:a16="http://schemas.microsoft.com/office/drawing/2014/main" id="{00000000-0008-0000-0300-000012000000}"/>
              </a:ext>
            </a:extLst>
          </xdr:cNvPr>
          <xdr:cNvGrpSpPr/>
        </xdr:nvGrpSpPr>
        <xdr:grpSpPr>
          <a:xfrm>
            <a:off x="47255206" y="212913"/>
            <a:ext cx="3602705" cy="3039492"/>
            <a:chOff x="9510958" y="2957513"/>
            <a:chExt cx="3204917" cy="3005977"/>
          </a:xfrm>
        </xdr:grpSpPr>
        <xdr:graphicFrame macro="">
          <xdr:nvGraphicFramePr>
            <xdr:cNvPr id="20" name="차트 19">
              <a:extLst>
                <a:ext uri="{FF2B5EF4-FFF2-40B4-BE49-F238E27FC236}">
                  <a16:creationId xmlns:a16="http://schemas.microsoft.com/office/drawing/2014/main" id="{00000000-0008-0000-0300-000014000000}"/>
                </a:ext>
              </a:extLst>
            </xdr:cNvPr>
            <xdr:cNvGraphicFramePr/>
          </xdr:nvGraphicFramePr>
          <xdr:xfrm>
            <a:off x="9715500" y="2957513"/>
            <a:ext cx="3000375" cy="2833687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"/>
            </a:graphicData>
          </a:graphic>
        </xdr:graphicFrame>
        <xdr:sp macro="" textlink="">
          <xdr:nvSpPr>
            <xdr:cNvPr id="21" name="모서리가 둥근 직사각형 20">
              <a:extLst>
                <a:ext uri="{FF2B5EF4-FFF2-40B4-BE49-F238E27FC236}">
                  <a16:creationId xmlns:a16="http://schemas.microsoft.com/office/drawing/2014/main" id="{00000000-0008-0000-0300-000015000000}"/>
                </a:ext>
              </a:extLst>
            </xdr:cNvPr>
            <xdr:cNvSpPr/>
          </xdr:nvSpPr>
          <xdr:spPr>
            <a:xfrm>
              <a:off x="10791370" y="4354078"/>
              <a:ext cx="602546" cy="1071193"/>
            </a:xfrm>
            <a:prstGeom prst="roundRect">
              <a:avLst/>
            </a:prstGeom>
            <a:noFill/>
            <a:ln w="9525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2" name="모서리가 둥근 직사각형 21">
              <a:extLst>
                <a:ext uri="{FF2B5EF4-FFF2-40B4-BE49-F238E27FC236}">
                  <a16:creationId xmlns:a16="http://schemas.microsoft.com/office/drawing/2014/main" id="{00000000-0008-0000-0300-000016000000}"/>
                </a:ext>
              </a:extLst>
            </xdr:cNvPr>
            <xdr:cNvSpPr/>
          </xdr:nvSpPr>
          <xdr:spPr>
            <a:xfrm>
              <a:off x="10923178" y="4354078"/>
              <a:ext cx="1553442" cy="1069685"/>
            </a:xfrm>
            <a:prstGeom prst="roundRect">
              <a:avLst/>
            </a:prstGeom>
            <a:noFill/>
            <a:ln w="9525">
              <a:solidFill>
                <a:srgbClr val="00B0F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3" name="모서리가 둥근 직사각형 22">
              <a:extLst>
                <a:ext uri="{FF2B5EF4-FFF2-40B4-BE49-F238E27FC236}">
                  <a16:creationId xmlns:a16="http://schemas.microsoft.com/office/drawing/2014/main" id="{00000000-0008-0000-0300-000017000000}"/>
                </a:ext>
              </a:extLst>
            </xdr:cNvPr>
            <xdr:cNvSpPr/>
          </xdr:nvSpPr>
          <xdr:spPr>
            <a:xfrm>
              <a:off x="10169994" y="4354079"/>
              <a:ext cx="913234" cy="1071187"/>
            </a:xfrm>
            <a:prstGeom prst="roundRect">
              <a:avLst/>
            </a:prstGeom>
            <a:noFill/>
            <a:ln w="9525">
              <a:solidFill>
                <a:srgbClr val="00B05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00000000-0008-0000-0300-000018000000}"/>
                </a:ext>
              </a:extLst>
            </xdr:cNvPr>
            <xdr:cNvSpPr txBox="1"/>
          </xdr:nvSpPr>
          <xdr:spPr>
            <a:xfrm>
              <a:off x="10785174" y="5689890"/>
              <a:ext cx="1008000" cy="2736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square" rtlCol="0" anchor="ctr" anchorCtr="1">
              <a:spAutoFit/>
            </a:bodyPr>
            <a:lstStyle/>
            <a:p>
              <a:r>
                <a:rPr lang="en-US" altLang="ko-KR" sz="1200" b="1" baseline="30000">
                  <a:latin typeface="Times New Roman" panose="02020603050405020304" pitchFamily="18" charset="0"/>
                  <a:cs typeface="Times New Roman" panose="02020603050405020304" pitchFamily="18" charset="0"/>
                </a:rPr>
                <a:t>15</a:t>
              </a:r>
              <a:r>
                <a:rPr lang="en-US" altLang="ko-KR" sz="1200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N-NO</a:t>
              </a:r>
              <a:r>
                <a:rPr lang="en-US" altLang="ko-KR" sz="1200" b="1" baseline="-25000">
                  <a:latin typeface="Times New Roman" panose="02020603050405020304" pitchFamily="18" charset="0"/>
                  <a:cs typeface="Times New Roman" panose="02020603050405020304" pitchFamily="18" charset="0"/>
                </a:rPr>
                <a:t>3 </a:t>
              </a:r>
              <a:r>
                <a:rPr lang="en-US" altLang="ko-KR" sz="1200" b="1" baseline="0">
                  <a:latin typeface="Times New Roman" panose="02020603050405020304" pitchFamily="18" charset="0"/>
                  <a:cs typeface="Times New Roman" panose="02020603050405020304" pitchFamily="18" charset="0"/>
                </a:rPr>
                <a:t>(‰)</a:t>
              </a:r>
              <a:endParaRPr lang="ko-KR" altLang="en-US" sz="1200" b="1" baseline="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00000000-0008-0000-0300-000019000000}"/>
                </a:ext>
              </a:extLst>
            </xdr:cNvPr>
            <xdr:cNvSpPr txBox="1"/>
          </xdr:nvSpPr>
          <xdr:spPr>
            <a:xfrm rot="16200000">
              <a:off x="9121663" y="4142141"/>
              <a:ext cx="1052512" cy="27392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1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altLang="ko-KR" sz="1200" b="1" baseline="30000">
                  <a:latin typeface="Times New Roman" panose="02020603050405020304" pitchFamily="18" charset="0"/>
                  <a:cs typeface="Times New Roman" panose="02020603050405020304" pitchFamily="18" charset="0"/>
                </a:rPr>
                <a:t>18</a:t>
              </a:r>
              <a:r>
                <a:rPr lang="en-US" altLang="ko-KR" sz="1200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O-NO</a:t>
              </a:r>
              <a:r>
                <a:rPr lang="en-US" altLang="ko-KR" sz="1200" b="1" baseline="-25000">
                  <a:latin typeface="Times New Roman" panose="02020603050405020304" pitchFamily="18" charset="0"/>
                  <a:cs typeface="Times New Roman" panose="02020603050405020304" pitchFamily="18" charset="0"/>
                </a:rPr>
                <a:t>3 </a:t>
              </a:r>
              <a:r>
                <a:rPr lang="en-US" altLang="ko-KR" sz="1100" b="1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(‰)</a:t>
              </a:r>
              <a:endParaRPr lang="ko-KR" altLang="ko-KR" sz="1200">
                <a:effectLst/>
              </a:endParaRPr>
            </a:p>
          </xdr:txBody>
        </xdr:sp>
        <xdr:sp macro="" textlink="">
          <xdr:nvSpPr>
            <xdr:cNvPr id="26" name="모서리가 둥근 직사각형 25">
              <a:extLst>
                <a:ext uri="{FF2B5EF4-FFF2-40B4-BE49-F238E27FC236}">
                  <a16:creationId xmlns:a16="http://schemas.microsoft.com/office/drawing/2014/main" id="{00000000-0008-0000-0300-00001A000000}"/>
                </a:ext>
              </a:extLst>
            </xdr:cNvPr>
            <xdr:cNvSpPr/>
          </xdr:nvSpPr>
          <xdr:spPr>
            <a:xfrm>
              <a:off x="10428976" y="4007562"/>
              <a:ext cx="663667" cy="255838"/>
            </a:xfrm>
            <a:prstGeom prst="roundRect">
              <a:avLst/>
            </a:prstGeom>
            <a:noFill/>
            <a:ln w="9525">
              <a:solidFill>
                <a:srgbClr val="7030A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00000000-0008-0000-0300-00001B000000}"/>
                </a:ext>
              </a:extLst>
            </xdr:cNvPr>
            <xdr:cNvSpPr txBox="1"/>
          </xdr:nvSpPr>
          <xdr:spPr>
            <a:xfrm>
              <a:off x="11527788" y="5099620"/>
              <a:ext cx="666750" cy="32829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1">
              <a:spAutoFit/>
            </a:bodyPr>
            <a:lstStyle/>
            <a:p>
              <a:r>
                <a:rPr lang="en-US" altLang="ko-KR" sz="800" b="1">
                  <a:solidFill>
                    <a:srgbClr val="00B0F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Manure &amp; Sewage</a:t>
              </a:r>
              <a:endParaRPr lang="ko-KR" altLang="en-US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00000000-0008-0000-0300-00001C000000}"/>
                </a:ext>
              </a:extLst>
            </xdr:cNvPr>
            <xdr:cNvSpPr txBox="1"/>
          </xdr:nvSpPr>
          <xdr:spPr>
            <a:xfrm>
              <a:off x="10838523" y="5140912"/>
              <a:ext cx="666750" cy="21031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1">
              <a:spAutoFit/>
            </a:bodyPr>
            <a:lstStyle/>
            <a:p>
              <a:r>
                <a:rPr lang="en-US" altLang="ko-KR" sz="800" b="1">
                  <a:solidFill>
                    <a:srgbClr val="FF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Soil N</a:t>
              </a:r>
              <a:endParaRPr lang="ko-KR" altLang="en-US" sz="800" b="1" baseline="-2500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00000000-0008-0000-0300-00001D000000}"/>
                </a:ext>
              </a:extLst>
            </xdr:cNvPr>
            <xdr:cNvSpPr txBox="1"/>
          </xdr:nvSpPr>
          <xdr:spPr>
            <a:xfrm>
              <a:off x="10527757" y="3981616"/>
              <a:ext cx="536644" cy="32572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1">
              <a:spAutoFit/>
            </a:bodyPr>
            <a:lstStyle/>
            <a:p>
              <a:pPr algn="ctr"/>
              <a:r>
                <a:rPr lang="en-US" altLang="ko-KR" sz="800" b="1">
                  <a:solidFill>
                    <a:srgbClr val="7030A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NO</a:t>
              </a:r>
              <a:r>
                <a:rPr lang="en-US" altLang="ko-KR" sz="800" b="1" baseline="-25000">
                  <a:solidFill>
                    <a:srgbClr val="7030A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3</a:t>
              </a:r>
              <a:r>
                <a:rPr lang="en-US" altLang="ko-KR" sz="800" b="1" baseline="30000">
                  <a:solidFill>
                    <a:srgbClr val="7030A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-</a:t>
              </a:r>
              <a:r>
                <a:rPr lang="en-US" altLang="ko-KR" sz="800" b="1">
                  <a:solidFill>
                    <a:srgbClr val="7030A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</a:t>
              </a:r>
            </a:p>
            <a:p>
              <a:pPr algn="ctr"/>
              <a:r>
                <a:rPr lang="en-US" altLang="ko-KR" sz="800" b="1">
                  <a:solidFill>
                    <a:srgbClr val="7030A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fertilizer</a:t>
              </a:r>
            </a:p>
          </xdr:txBody>
        </xdr:sp>
      </xdr:grpSp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00000000-0008-0000-0300-000013000000}"/>
              </a:ext>
            </a:extLst>
          </xdr:cNvPr>
          <xdr:cNvSpPr txBox="1"/>
        </xdr:nvSpPr>
        <xdr:spPr>
          <a:xfrm>
            <a:off x="47889255" y="1827122"/>
            <a:ext cx="818610" cy="36582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11</xdr:col>
      <xdr:colOff>158750</xdr:colOff>
      <xdr:row>18</xdr:row>
      <xdr:rowOff>169336</xdr:rowOff>
    </xdr:from>
    <xdr:to>
      <xdr:col>19</xdr:col>
      <xdr:colOff>248710</xdr:colOff>
      <xdr:row>35</xdr:row>
      <xdr:rowOff>128062</xdr:rowOff>
    </xdr:to>
    <xdr:graphicFrame macro="">
      <xdr:nvGraphicFramePr>
        <xdr:cNvPr id="30" name="차트 29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122"/>
  <sheetViews>
    <sheetView zoomScale="90" zoomScaleNormal="90" workbookViewId="0">
      <pane ySplit="1" topLeftCell="A20" activePane="bottomLeft" state="frozen"/>
      <selection pane="bottomLeft" activeCell="S4" sqref="S4"/>
    </sheetView>
  </sheetViews>
  <sheetFormatPr defaultRowHeight="16.5" x14ac:dyDescent="0.3"/>
  <cols>
    <col min="1" max="1" width="7.25" customWidth="1"/>
    <col min="2" max="2" width="13.75" style="36" customWidth="1"/>
    <col min="3" max="3" width="11.75" style="36" customWidth="1"/>
    <col min="4" max="4" width="19.25" customWidth="1"/>
    <col min="8" max="9" width="11.125" style="45" hidden="1" customWidth="1"/>
    <col min="10" max="10" width="25.875" style="35" hidden="1" customWidth="1"/>
    <col min="11" max="11" width="9.875" style="35" customWidth="1"/>
  </cols>
  <sheetData>
    <row r="1" spans="1:21" x14ac:dyDescent="0.3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0" t="s">
        <v>7</v>
      </c>
      <c r="I1" s="40" t="s">
        <v>8</v>
      </c>
      <c r="J1" s="6" t="s">
        <v>9</v>
      </c>
      <c r="K1" s="62"/>
    </row>
    <row r="2" spans="1:21" x14ac:dyDescent="0.3">
      <c r="A2" s="7">
        <v>1</v>
      </c>
      <c r="B2" s="8" t="s">
        <v>211</v>
      </c>
      <c r="C2" s="9" t="s">
        <v>11</v>
      </c>
      <c r="D2" s="10" t="s">
        <v>149</v>
      </c>
      <c r="E2" s="11">
        <v>5.4515181000000004</v>
      </c>
      <c r="F2" s="11">
        <v>5.6856187000000002E-2</v>
      </c>
      <c r="G2" s="11">
        <v>0.41214858999999998</v>
      </c>
      <c r="H2" s="41"/>
      <c r="I2" s="41"/>
      <c r="J2" s="13" t="s">
        <v>13</v>
      </c>
      <c r="K2" s="63"/>
      <c r="L2" s="46">
        <v>2025</v>
      </c>
    </row>
    <row r="3" spans="1:21" x14ac:dyDescent="0.3">
      <c r="A3" s="7">
        <v>3</v>
      </c>
      <c r="B3" s="8"/>
      <c r="C3" s="9" t="s">
        <v>15</v>
      </c>
      <c r="D3" s="10" t="s">
        <v>148</v>
      </c>
      <c r="E3" s="11">
        <v>4.9256336000000003</v>
      </c>
      <c r="F3" s="11">
        <v>5.0903120000000003E-2</v>
      </c>
      <c r="G3" s="11">
        <v>0.65042889999999998</v>
      </c>
      <c r="H3" s="41"/>
      <c r="I3" s="41"/>
      <c r="J3" s="13" t="s">
        <v>13</v>
      </c>
      <c r="K3" s="63"/>
      <c r="L3" s="46">
        <v>2025</v>
      </c>
      <c r="U3" t="s">
        <v>206</v>
      </c>
    </row>
    <row r="4" spans="1:21" x14ac:dyDescent="0.3">
      <c r="A4" s="7">
        <v>2</v>
      </c>
      <c r="B4" s="8"/>
      <c r="C4" s="9" t="s">
        <v>14</v>
      </c>
      <c r="D4" s="10" t="s">
        <v>147</v>
      </c>
      <c r="E4" s="11">
        <v>2.0678201</v>
      </c>
      <c r="F4" s="11">
        <v>0.68627450999999995</v>
      </c>
      <c r="G4" s="11">
        <v>0.56725146000000004</v>
      </c>
      <c r="H4" s="41"/>
      <c r="I4" s="41"/>
      <c r="J4" s="13" t="s">
        <v>13</v>
      </c>
      <c r="K4" s="63"/>
      <c r="L4" s="46">
        <v>2025</v>
      </c>
    </row>
    <row r="5" spans="1:21" x14ac:dyDescent="0.3">
      <c r="A5" s="7">
        <v>1</v>
      </c>
      <c r="B5" s="8" t="s">
        <v>212</v>
      </c>
      <c r="C5" s="9" t="s">
        <v>11</v>
      </c>
      <c r="D5" s="10" t="s">
        <v>12</v>
      </c>
      <c r="E5" s="11">
        <v>5.0131062000000002</v>
      </c>
      <c r="F5" s="11">
        <v>7.1345029000000004E-2</v>
      </c>
      <c r="G5" s="11">
        <v>0.54322497000000003</v>
      </c>
      <c r="H5" s="12"/>
      <c r="I5" s="12"/>
      <c r="J5" s="13" t="s">
        <v>13</v>
      </c>
      <c r="K5" s="63"/>
      <c r="L5">
        <v>2024</v>
      </c>
    </row>
    <row r="6" spans="1:21" x14ac:dyDescent="0.3">
      <c r="A6" s="7">
        <v>2</v>
      </c>
      <c r="B6" s="8"/>
      <c r="C6" s="9" t="s">
        <v>14</v>
      </c>
      <c r="D6" s="10" t="s">
        <v>12</v>
      </c>
      <c r="E6" s="11">
        <v>0.53309353000000004</v>
      </c>
      <c r="F6" s="11">
        <v>0.19117646999999999</v>
      </c>
      <c r="G6" s="11">
        <v>0.33122484000000002</v>
      </c>
      <c r="H6" s="12"/>
      <c r="I6" s="12"/>
      <c r="J6" s="13" t="s">
        <v>13</v>
      </c>
      <c r="K6" s="63"/>
      <c r="L6">
        <v>2024</v>
      </c>
    </row>
    <row r="7" spans="1:21" x14ac:dyDescent="0.3">
      <c r="A7" s="7">
        <v>3</v>
      </c>
      <c r="B7" s="8"/>
      <c r="C7" s="9" t="s">
        <v>15</v>
      </c>
      <c r="D7" s="10" t="s">
        <v>12</v>
      </c>
      <c r="E7" s="11">
        <v>0.76725193999999997</v>
      </c>
      <c r="F7" s="11">
        <v>9.1056911000000004E-2</v>
      </c>
      <c r="G7" s="11">
        <v>0.49982269000000001</v>
      </c>
      <c r="H7" s="12"/>
      <c r="I7" s="12"/>
      <c r="J7" s="13" t="s">
        <v>13</v>
      </c>
      <c r="K7" s="63"/>
      <c r="L7">
        <v>2024</v>
      </c>
    </row>
    <row r="8" spans="1:21" x14ac:dyDescent="0.3">
      <c r="A8" s="7">
        <v>4</v>
      </c>
      <c r="B8" s="8" t="s">
        <v>213</v>
      </c>
      <c r="C8" s="9" t="s">
        <v>17</v>
      </c>
      <c r="D8" s="10" t="s">
        <v>179</v>
      </c>
      <c r="E8" s="11">
        <v>14.799187</v>
      </c>
      <c r="F8" s="11">
        <v>9.8453283000000003E-2</v>
      </c>
      <c r="G8" s="11">
        <v>1.2069160000000001</v>
      </c>
      <c r="H8" s="41"/>
      <c r="I8" s="41"/>
      <c r="J8" s="13"/>
      <c r="K8" s="63"/>
      <c r="L8" s="46">
        <v>2025</v>
      </c>
    </row>
    <row r="9" spans="1:21" x14ac:dyDescent="0.3">
      <c r="A9" s="7">
        <v>4</v>
      </c>
      <c r="B9" s="8" t="s">
        <v>214</v>
      </c>
      <c r="C9" s="9" t="s">
        <v>17</v>
      </c>
      <c r="D9" s="10" t="s">
        <v>18</v>
      </c>
      <c r="E9" s="11">
        <v>18.253259</v>
      </c>
      <c r="F9" s="11">
        <v>2.4608501000000001E-2</v>
      </c>
      <c r="G9" s="11">
        <v>1.2474521999999999</v>
      </c>
      <c r="H9" s="12"/>
      <c r="I9" s="12"/>
      <c r="J9" s="13" t="s">
        <v>13</v>
      </c>
      <c r="K9" s="63"/>
      <c r="L9">
        <v>2024</v>
      </c>
    </row>
    <row r="10" spans="1:21" x14ac:dyDescent="0.3">
      <c r="A10" s="7"/>
      <c r="B10" s="8"/>
      <c r="C10" s="9" t="s">
        <v>19</v>
      </c>
      <c r="D10" s="10" t="s">
        <v>20</v>
      </c>
      <c r="E10" s="11">
        <v>15.894565</v>
      </c>
      <c r="F10" s="11">
        <v>9.6138514999999994E-2</v>
      </c>
      <c r="G10" s="11">
        <v>1.2979887999999999</v>
      </c>
      <c r="H10" s="12"/>
      <c r="I10" s="12"/>
      <c r="J10" s="13" t="s">
        <v>13</v>
      </c>
      <c r="K10" s="63"/>
      <c r="L10">
        <v>2024</v>
      </c>
    </row>
    <row r="11" spans="1:21" x14ac:dyDescent="0.3">
      <c r="A11" s="7"/>
      <c r="B11" s="8"/>
      <c r="C11" s="9" t="s">
        <v>21</v>
      </c>
      <c r="D11" s="10" t="s">
        <v>22</v>
      </c>
      <c r="E11" s="11">
        <v>15.673439999999999</v>
      </c>
      <c r="F11" s="11">
        <v>4.3949305000000001E-2</v>
      </c>
      <c r="G11" s="11">
        <v>1.2137967000000001</v>
      </c>
      <c r="H11" s="12"/>
      <c r="I11" s="12"/>
      <c r="J11" s="13" t="s">
        <v>13</v>
      </c>
      <c r="K11" s="63"/>
      <c r="L11">
        <v>2024</v>
      </c>
    </row>
    <row r="12" spans="1:21" x14ac:dyDescent="0.3">
      <c r="A12" s="7"/>
      <c r="B12" s="8"/>
      <c r="C12" s="9" t="s">
        <v>23</v>
      </c>
      <c r="D12" s="10" t="s">
        <v>24</v>
      </c>
      <c r="E12" s="11">
        <v>12.957406000000001</v>
      </c>
      <c r="F12" s="11">
        <v>8.4940796999999998E-2</v>
      </c>
      <c r="G12" s="11">
        <v>1.3070550000000001</v>
      </c>
      <c r="H12" s="12"/>
      <c r="I12" s="12"/>
      <c r="J12" s="13" t="s">
        <v>13</v>
      </c>
      <c r="K12" s="63"/>
      <c r="L12">
        <v>2024</v>
      </c>
    </row>
    <row r="13" spans="1:21" x14ac:dyDescent="0.3">
      <c r="A13" s="7">
        <v>9</v>
      </c>
      <c r="B13" s="8" t="s">
        <v>215</v>
      </c>
      <c r="C13" s="9" t="s">
        <v>19</v>
      </c>
      <c r="D13" s="10" t="s">
        <v>144</v>
      </c>
      <c r="E13" s="61">
        <v>2.9537789999999999</v>
      </c>
      <c r="F13" s="61">
        <v>0.76075904000000005</v>
      </c>
      <c r="G13" s="61">
        <v>1.2585497000000001</v>
      </c>
      <c r="H13" s="41"/>
      <c r="I13" s="41"/>
      <c r="J13" s="13" t="s">
        <v>197</v>
      </c>
      <c r="K13" s="63"/>
      <c r="L13" s="46">
        <v>2025</v>
      </c>
    </row>
    <row r="14" spans="1:21" x14ac:dyDescent="0.3">
      <c r="A14" s="7">
        <v>10</v>
      </c>
      <c r="B14" s="8"/>
      <c r="C14" s="9" t="s">
        <v>21</v>
      </c>
      <c r="D14" s="10" t="s">
        <v>143</v>
      </c>
      <c r="E14" s="61">
        <v>10.676766000000001</v>
      </c>
      <c r="F14" s="61">
        <v>0.54505380000000003</v>
      </c>
      <c r="G14" s="61">
        <v>1.1585510000000001</v>
      </c>
      <c r="H14" s="41"/>
      <c r="I14" s="41"/>
      <c r="J14" s="13" t="s">
        <v>198</v>
      </c>
      <c r="K14" s="63"/>
      <c r="L14" s="46">
        <v>2025</v>
      </c>
    </row>
    <row r="15" spans="1:21" x14ac:dyDescent="0.3">
      <c r="A15" s="7">
        <v>11</v>
      </c>
      <c r="B15" s="8"/>
      <c r="C15" s="9" t="s">
        <v>23</v>
      </c>
      <c r="D15" s="10" t="s">
        <v>145</v>
      </c>
      <c r="E15" s="61">
        <v>3.8646913000000001</v>
      </c>
      <c r="F15" s="61">
        <v>0.47782972000000001</v>
      </c>
      <c r="G15" s="61">
        <v>1.0877029</v>
      </c>
      <c r="H15" s="41"/>
      <c r="I15" s="41"/>
      <c r="J15" s="13" t="s">
        <v>197</v>
      </c>
      <c r="K15" s="63"/>
      <c r="L15" s="46">
        <v>2025</v>
      </c>
    </row>
    <row r="16" spans="1:21" x14ac:dyDescent="0.3">
      <c r="A16" s="37">
        <v>13</v>
      </c>
      <c r="B16" s="38"/>
      <c r="C16" s="9" t="s">
        <v>26</v>
      </c>
      <c r="D16" s="34" t="s">
        <v>146</v>
      </c>
      <c r="E16" s="61">
        <v>3.7434799000000001</v>
      </c>
      <c r="F16" s="61">
        <v>0.73527803000000003</v>
      </c>
      <c r="G16" s="61">
        <v>1.0939308000000001</v>
      </c>
      <c r="H16" s="41"/>
      <c r="I16" s="41"/>
      <c r="J16" s="13" t="s">
        <v>199</v>
      </c>
      <c r="K16" s="63"/>
      <c r="L16" s="46">
        <v>2025</v>
      </c>
    </row>
    <row r="17" spans="1:12" x14ac:dyDescent="0.3">
      <c r="A17" s="7">
        <v>8</v>
      </c>
      <c r="B17" s="8" t="s">
        <v>216</v>
      </c>
      <c r="C17" s="9" t="s">
        <v>26</v>
      </c>
      <c r="D17" s="10" t="s">
        <v>27</v>
      </c>
      <c r="E17" s="59">
        <v>7.5397732</v>
      </c>
      <c r="F17" s="59">
        <v>0.66253231999999995</v>
      </c>
      <c r="G17" s="59">
        <v>1.4602349999999999</v>
      </c>
      <c r="H17" s="12"/>
      <c r="I17" s="12"/>
      <c r="J17" s="13" t="s">
        <v>28</v>
      </c>
      <c r="K17" s="63"/>
      <c r="L17">
        <v>2024</v>
      </c>
    </row>
    <row r="18" spans="1:12" x14ac:dyDescent="0.3">
      <c r="A18" s="7">
        <v>9</v>
      </c>
      <c r="B18" s="8"/>
      <c r="C18" s="9" t="s">
        <v>29</v>
      </c>
      <c r="D18" s="10" t="s">
        <v>30</v>
      </c>
      <c r="E18" s="59">
        <v>10.8985</v>
      </c>
      <c r="F18" s="59">
        <v>0.65909817999999998</v>
      </c>
      <c r="G18" s="59">
        <v>1.3749370000000001</v>
      </c>
      <c r="H18" s="12"/>
      <c r="I18" s="12"/>
      <c r="J18" s="13" t="s">
        <v>28</v>
      </c>
      <c r="K18" s="63"/>
      <c r="L18">
        <v>2024</v>
      </c>
    </row>
    <row r="19" spans="1:12" x14ac:dyDescent="0.3">
      <c r="A19" s="7">
        <v>10</v>
      </c>
      <c r="B19" s="8"/>
      <c r="C19" s="9" t="s">
        <v>31</v>
      </c>
      <c r="D19" s="10" t="s">
        <v>27</v>
      </c>
      <c r="E19" s="59">
        <v>5.4716737000000002</v>
      </c>
      <c r="F19" s="59">
        <v>0.69011096999999999</v>
      </c>
      <c r="G19" s="59">
        <v>1.5395901000000001</v>
      </c>
      <c r="H19" s="12"/>
      <c r="I19" s="12"/>
      <c r="J19" s="13" t="s">
        <v>32</v>
      </c>
      <c r="K19" s="63"/>
      <c r="L19">
        <v>2024</v>
      </c>
    </row>
    <row r="20" spans="1:12" x14ac:dyDescent="0.3">
      <c r="A20" s="7">
        <v>11</v>
      </c>
      <c r="B20" s="8"/>
      <c r="C20" s="9" t="s">
        <v>33</v>
      </c>
      <c r="D20" s="10" t="s">
        <v>30</v>
      </c>
      <c r="E20" s="59">
        <v>11.120661</v>
      </c>
      <c r="F20" s="59">
        <v>0.74876264000000003</v>
      </c>
      <c r="G20" s="59">
        <v>1.3940493</v>
      </c>
      <c r="H20" s="12"/>
      <c r="I20" s="12"/>
      <c r="J20" s="13" t="s">
        <v>32</v>
      </c>
      <c r="K20" s="63"/>
      <c r="L20">
        <v>2024</v>
      </c>
    </row>
    <row r="21" spans="1:12" x14ac:dyDescent="0.3">
      <c r="A21" s="7">
        <v>13</v>
      </c>
      <c r="B21" s="8"/>
      <c r="C21" s="9" t="s">
        <v>36</v>
      </c>
      <c r="D21" s="10" t="s">
        <v>27</v>
      </c>
      <c r="E21" s="59">
        <v>3.4161260000000002</v>
      </c>
      <c r="F21" s="59">
        <v>0.54622367999999999</v>
      </c>
      <c r="G21" s="59">
        <v>1.3658755</v>
      </c>
      <c r="H21" s="12"/>
      <c r="I21" s="12"/>
      <c r="J21" s="13" t="s">
        <v>37</v>
      </c>
      <c r="K21" s="63"/>
      <c r="L21">
        <v>2024</v>
      </c>
    </row>
    <row r="22" spans="1:12" x14ac:dyDescent="0.3">
      <c r="A22" s="7">
        <v>14</v>
      </c>
      <c r="B22" s="8"/>
      <c r="C22" s="9" t="s">
        <v>38</v>
      </c>
      <c r="D22" s="10" t="s">
        <v>30</v>
      </c>
      <c r="E22" s="59">
        <v>19.154025000000001</v>
      </c>
      <c r="F22" s="59">
        <v>0.59125532999999997</v>
      </c>
      <c r="G22" s="59">
        <v>1.3888729</v>
      </c>
      <c r="H22" s="17"/>
      <c r="I22" s="17"/>
      <c r="J22" s="13" t="s">
        <v>37</v>
      </c>
      <c r="K22" s="63"/>
      <c r="L22">
        <v>2024</v>
      </c>
    </row>
    <row r="23" spans="1:12" x14ac:dyDescent="0.3">
      <c r="A23" s="7">
        <v>15</v>
      </c>
      <c r="B23" s="8"/>
      <c r="C23" s="9" t="s">
        <v>39</v>
      </c>
      <c r="D23" s="10" t="s">
        <v>27</v>
      </c>
      <c r="E23" s="59">
        <v>6.8927538999999998</v>
      </c>
      <c r="F23" s="59">
        <v>0.58740621999999998</v>
      </c>
      <c r="G23" s="59">
        <v>1.3366442999999999</v>
      </c>
      <c r="H23" s="17"/>
      <c r="I23" s="17"/>
      <c r="J23" s="13" t="s">
        <v>37</v>
      </c>
      <c r="K23" s="63"/>
      <c r="L23">
        <v>2024</v>
      </c>
    </row>
    <row r="24" spans="1:12" x14ac:dyDescent="0.3">
      <c r="A24" s="37">
        <v>16</v>
      </c>
      <c r="B24" s="38" t="s">
        <v>217</v>
      </c>
      <c r="C24" s="29" t="s">
        <v>122</v>
      </c>
      <c r="D24" s="34" t="s">
        <v>44</v>
      </c>
      <c r="E24" s="11">
        <v>63.734005000000003</v>
      </c>
      <c r="F24" s="11">
        <v>0.35724412</v>
      </c>
      <c r="G24" s="11">
        <v>1.0194175999999999</v>
      </c>
      <c r="H24" s="42"/>
      <c r="I24" s="42"/>
      <c r="J24" s="13" t="s">
        <v>200</v>
      </c>
      <c r="K24" s="63"/>
      <c r="L24" s="46">
        <v>2025</v>
      </c>
    </row>
    <row r="25" spans="1:12" x14ac:dyDescent="0.3">
      <c r="A25" s="37">
        <v>17</v>
      </c>
      <c r="B25" s="38"/>
      <c r="C25" s="29" t="s">
        <v>41</v>
      </c>
      <c r="D25" s="34" t="s">
        <v>44</v>
      </c>
      <c r="E25" s="11">
        <v>79.314628999999996</v>
      </c>
      <c r="F25" s="11">
        <v>0.34919582999999998</v>
      </c>
      <c r="G25" s="11">
        <v>1.1583357000000001</v>
      </c>
      <c r="H25" s="42"/>
      <c r="I25" s="42"/>
      <c r="J25" s="13" t="s">
        <v>200</v>
      </c>
      <c r="K25" s="63"/>
      <c r="L25" s="46">
        <v>2025</v>
      </c>
    </row>
    <row r="26" spans="1:12" x14ac:dyDescent="0.3">
      <c r="A26" s="37">
        <v>18</v>
      </c>
      <c r="B26" s="38"/>
      <c r="C26" s="29" t="s">
        <v>43</v>
      </c>
      <c r="D26" s="34" t="s">
        <v>44</v>
      </c>
      <c r="E26" s="11">
        <v>56.9377</v>
      </c>
      <c r="F26" s="11">
        <v>0.38877618000000003</v>
      </c>
      <c r="G26" s="11">
        <v>1.0643672</v>
      </c>
      <c r="H26" s="42"/>
      <c r="I26" s="42"/>
      <c r="J26" s="13" t="s">
        <v>200</v>
      </c>
      <c r="K26" s="63"/>
      <c r="L26" s="46">
        <v>2025</v>
      </c>
    </row>
    <row r="27" spans="1:12" x14ac:dyDescent="0.3">
      <c r="A27" s="37">
        <v>19</v>
      </c>
      <c r="B27" s="38"/>
      <c r="C27" s="29" t="s">
        <v>45</v>
      </c>
      <c r="D27" s="34" t="s">
        <v>44</v>
      </c>
      <c r="E27" s="11">
        <v>13.699883</v>
      </c>
      <c r="F27" s="11">
        <v>0.2264272</v>
      </c>
      <c r="G27" s="11">
        <v>0.67291367999999996</v>
      </c>
      <c r="H27" s="42"/>
      <c r="I27" s="42"/>
      <c r="J27" s="13" t="s">
        <v>200</v>
      </c>
      <c r="K27" s="63"/>
      <c r="L27" s="46">
        <v>2025</v>
      </c>
    </row>
    <row r="28" spans="1:12" x14ac:dyDescent="0.3">
      <c r="A28" s="37">
        <v>20</v>
      </c>
      <c r="B28" s="38"/>
      <c r="C28" s="29" t="s">
        <v>46</v>
      </c>
      <c r="D28" s="34" t="s">
        <v>44</v>
      </c>
      <c r="E28" s="24">
        <v>48.711221999999999</v>
      </c>
      <c r="F28" s="24">
        <v>0.25561518999999999</v>
      </c>
      <c r="G28" s="24">
        <v>0.82384173000000005</v>
      </c>
      <c r="H28" s="25"/>
      <c r="I28" s="25"/>
      <c r="J28" s="13" t="s">
        <v>200</v>
      </c>
      <c r="K28" s="63"/>
      <c r="L28" s="46">
        <v>2025</v>
      </c>
    </row>
    <row r="29" spans="1:12" x14ac:dyDescent="0.3">
      <c r="A29" s="7">
        <v>16</v>
      </c>
      <c r="B29" s="8" t="s">
        <v>218</v>
      </c>
      <c r="C29" s="9" t="s">
        <v>41</v>
      </c>
      <c r="D29" s="10" t="s">
        <v>42</v>
      </c>
      <c r="E29" s="11">
        <v>13.837702</v>
      </c>
      <c r="F29" s="11">
        <v>0.40384852999999998</v>
      </c>
      <c r="G29" s="11">
        <v>0.90452336</v>
      </c>
      <c r="H29" s="18"/>
      <c r="I29" s="18"/>
      <c r="J29" s="13" t="s">
        <v>37</v>
      </c>
      <c r="K29" s="63"/>
      <c r="L29">
        <v>2024</v>
      </c>
    </row>
    <row r="30" spans="1:12" x14ac:dyDescent="0.3">
      <c r="A30" s="7">
        <v>17</v>
      </c>
      <c r="B30" s="8"/>
      <c r="C30" s="9" t="s">
        <v>43</v>
      </c>
      <c r="D30" s="10" t="s">
        <v>44</v>
      </c>
      <c r="E30" s="61">
        <v>2.8329843000000001</v>
      </c>
      <c r="F30" s="61">
        <v>0.11758989</v>
      </c>
      <c r="H30" s="18"/>
      <c r="I30" s="18"/>
      <c r="J30" s="13" t="s">
        <v>37</v>
      </c>
      <c r="K30" s="61">
        <v>0.63300928999999995</v>
      </c>
      <c r="L30">
        <v>2024</v>
      </c>
    </row>
    <row r="31" spans="1:12" x14ac:dyDescent="0.3">
      <c r="A31" s="7">
        <v>18</v>
      </c>
      <c r="B31" s="8"/>
      <c r="C31" s="9" t="s">
        <v>45</v>
      </c>
      <c r="D31" s="10" t="s">
        <v>44</v>
      </c>
      <c r="E31" s="11">
        <v>0.86863380999999995</v>
      </c>
      <c r="F31" s="11">
        <v>0.88647476000000003</v>
      </c>
      <c r="G31" s="11">
        <v>1.0092668</v>
      </c>
      <c r="H31" s="18"/>
      <c r="I31" s="18"/>
      <c r="J31" s="13" t="s">
        <v>37</v>
      </c>
      <c r="K31" s="63"/>
      <c r="L31">
        <v>2024</v>
      </c>
    </row>
    <row r="32" spans="1:12" x14ac:dyDescent="0.3">
      <c r="A32" s="7">
        <v>19</v>
      </c>
      <c r="B32" s="8"/>
      <c r="C32" s="9" t="s">
        <v>46</v>
      </c>
      <c r="D32" s="10" t="s">
        <v>44</v>
      </c>
      <c r="E32" s="11">
        <v>13.028558</v>
      </c>
      <c r="F32" s="11">
        <v>0.70610428000000003</v>
      </c>
      <c r="G32" s="11">
        <v>1.1573837</v>
      </c>
      <c r="H32" s="18"/>
      <c r="I32" s="18"/>
      <c r="J32" s="13" t="s">
        <v>37</v>
      </c>
      <c r="K32" s="63"/>
      <c r="L32">
        <v>2024</v>
      </c>
    </row>
    <row r="33" spans="1:12" x14ac:dyDescent="0.3">
      <c r="A33" s="37">
        <v>21</v>
      </c>
      <c r="B33" s="38" t="s">
        <v>207</v>
      </c>
      <c r="C33" s="39" t="s">
        <v>123</v>
      </c>
      <c r="D33" s="34" t="s">
        <v>151</v>
      </c>
      <c r="E33" s="24">
        <v>5.6331854999999997</v>
      </c>
      <c r="F33" s="24">
        <v>0.52457611999999998</v>
      </c>
      <c r="G33" s="24">
        <v>1.1389050000000001</v>
      </c>
      <c r="H33" s="25"/>
      <c r="I33" s="25"/>
      <c r="J33" s="13" t="s">
        <v>50</v>
      </c>
      <c r="K33" s="63"/>
      <c r="L33" s="46">
        <v>2025</v>
      </c>
    </row>
    <row r="34" spans="1:12" x14ac:dyDescent="0.3">
      <c r="A34" s="37">
        <v>22</v>
      </c>
      <c r="B34" s="38"/>
      <c r="C34" s="39" t="s">
        <v>124</v>
      </c>
      <c r="D34" s="34" t="s">
        <v>151</v>
      </c>
      <c r="E34" s="60">
        <v>1.6164504</v>
      </c>
      <c r="F34" s="60">
        <v>0.81727892000000002</v>
      </c>
      <c r="H34" s="25"/>
      <c r="I34" s="25"/>
      <c r="J34" s="13" t="s">
        <v>50</v>
      </c>
      <c r="K34" s="60">
        <v>1.4675128</v>
      </c>
      <c r="L34" s="46">
        <v>2025</v>
      </c>
    </row>
    <row r="35" spans="1:12" x14ac:dyDescent="0.3">
      <c r="A35" s="37">
        <v>23</v>
      </c>
      <c r="B35" s="38"/>
      <c r="C35" s="39" t="s">
        <v>125</v>
      </c>
      <c r="D35" s="34" t="s">
        <v>150</v>
      </c>
      <c r="E35" s="24">
        <v>12.970205</v>
      </c>
      <c r="F35" s="24">
        <v>0.61353095000000002</v>
      </c>
      <c r="G35" s="24">
        <v>1.1658522</v>
      </c>
      <c r="H35" s="25"/>
      <c r="I35" s="25"/>
      <c r="J35" s="13" t="s">
        <v>50</v>
      </c>
      <c r="K35" s="63"/>
      <c r="L35" s="46">
        <v>2025</v>
      </c>
    </row>
    <row r="36" spans="1:12" x14ac:dyDescent="0.3">
      <c r="A36" s="37">
        <v>24</v>
      </c>
      <c r="B36" s="38"/>
      <c r="C36" s="39" t="s">
        <v>126</v>
      </c>
      <c r="D36" s="34" t="s">
        <v>152</v>
      </c>
      <c r="E36" s="24">
        <v>10.176845999999999</v>
      </c>
      <c r="F36" s="24">
        <v>0.65758879000000003</v>
      </c>
      <c r="G36" s="24">
        <v>1.2896307</v>
      </c>
      <c r="H36" s="25"/>
      <c r="I36" s="25"/>
      <c r="J36" s="13" t="s">
        <v>50</v>
      </c>
      <c r="K36" s="63"/>
      <c r="L36" s="46">
        <v>2025</v>
      </c>
    </row>
    <row r="37" spans="1:12" x14ac:dyDescent="0.3">
      <c r="A37" s="37">
        <v>25</v>
      </c>
      <c r="B37" s="38"/>
      <c r="C37" s="39" t="s">
        <v>127</v>
      </c>
      <c r="D37" s="34" t="s">
        <v>153</v>
      </c>
      <c r="E37" s="24">
        <v>4.8600218000000002</v>
      </c>
      <c r="F37" s="24">
        <v>0.58170237000000002</v>
      </c>
      <c r="G37" s="24">
        <v>1.2419627</v>
      </c>
      <c r="H37" s="25"/>
      <c r="I37" s="25"/>
      <c r="J37" s="13" t="s">
        <v>50</v>
      </c>
      <c r="K37" s="63"/>
      <c r="L37" s="46">
        <v>2025</v>
      </c>
    </row>
    <row r="38" spans="1:12" x14ac:dyDescent="0.3">
      <c r="A38" s="37">
        <v>26</v>
      </c>
      <c r="B38" s="38"/>
      <c r="C38" s="39" t="s">
        <v>128</v>
      </c>
      <c r="D38" s="34" t="s">
        <v>150</v>
      </c>
      <c r="E38" s="24">
        <v>14.068768</v>
      </c>
      <c r="F38" s="24">
        <v>0.58404855</v>
      </c>
      <c r="G38" s="24">
        <v>1.2383124999999999</v>
      </c>
      <c r="H38" s="25"/>
      <c r="I38" s="25"/>
      <c r="J38" s="13" t="s">
        <v>50</v>
      </c>
      <c r="K38" s="63"/>
      <c r="L38" s="46">
        <v>2025</v>
      </c>
    </row>
    <row r="39" spans="1:12" x14ac:dyDescent="0.3">
      <c r="A39" s="37">
        <v>27</v>
      </c>
      <c r="B39" s="38"/>
      <c r="C39" s="39" t="s">
        <v>140</v>
      </c>
      <c r="D39" s="34" t="s">
        <v>150</v>
      </c>
      <c r="E39" s="24">
        <v>8.6286001999999993</v>
      </c>
      <c r="F39" s="24">
        <v>0.52470391999999999</v>
      </c>
      <c r="G39" s="24">
        <v>1.1680168</v>
      </c>
      <c r="H39" s="25"/>
      <c r="I39" s="25"/>
      <c r="J39" s="13" t="s">
        <v>50</v>
      </c>
      <c r="K39" s="63"/>
      <c r="L39" s="46">
        <v>2025</v>
      </c>
    </row>
    <row r="40" spans="1:12" x14ac:dyDescent="0.3">
      <c r="A40" s="37">
        <v>28</v>
      </c>
      <c r="B40" s="38"/>
      <c r="C40" s="39" t="s">
        <v>129</v>
      </c>
      <c r="D40" s="34" t="s">
        <v>152</v>
      </c>
      <c r="E40" s="24">
        <v>11.978322</v>
      </c>
      <c r="F40" s="24">
        <v>0.54793464000000003</v>
      </c>
      <c r="G40" s="24">
        <v>1.2595050000000001</v>
      </c>
      <c r="H40" s="25"/>
      <c r="I40" s="25"/>
      <c r="J40" s="13" t="s">
        <v>50</v>
      </c>
      <c r="K40" s="63"/>
      <c r="L40" s="46">
        <v>2025</v>
      </c>
    </row>
    <row r="41" spans="1:12" x14ac:dyDescent="0.3">
      <c r="A41" s="37">
        <v>29</v>
      </c>
      <c r="B41" s="38"/>
      <c r="C41" s="39" t="s">
        <v>130</v>
      </c>
      <c r="D41" s="34" t="s">
        <v>153</v>
      </c>
      <c r="E41" s="24">
        <v>8.9892093000000006</v>
      </c>
      <c r="F41" s="24">
        <v>0.49994714000000001</v>
      </c>
      <c r="G41" s="24">
        <v>1.1141143</v>
      </c>
      <c r="H41" s="25"/>
      <c r="I41" s="25"/>
      <c r="J41" s="13" t="s">
        <v>50</v>
      </c>
      <c r="K41" s="63"/>
      <c r="L41" s="46">
        <v>2025</v>
      </c>
    </row>
    <row r="42" spans="1:12" x14ac:dyDescent="0.3">
      <c r="A42" s="37">
        <v>30</v>
      </c>
      <c r="B42" s="38"/>
      <c r="C42" s="39" t="s">
        <v>131</v>
      </c>
      <c r="D42" s="34" t="s">
        <v>150</v>
      </c>
      <c r="E42" s="24">
        <v>5.4262975000000004</v>
      </c>
      <c r="F42" s="24">
        <v>0.63941674999999998</v>
      </c>
      <c r="G42" s="24">
        <v>1.2906054</v>
      </c>
      <c r="H42" s="25"/>
      <c r="I42" s="25"/>
      <c r="J42" s="13" t="s">
        <v>50</v>
      </c>
      <c r="K42" s="63"/>
      <c r="L42" s="46">
        <v>2025</v>
      </c>
    </row>
    <row r="43" spans="1:12" x14ac:dyDescent="0.3">
      <c r="A43" s="37">
        <v>31</v>
      </c>
      <c r="B43" s="38"/>
      <c r="C43" s="39" t="s">
        <v>132</v>
      </c>
      <c r="D43" s="34" t="s">
        <v>150</v>
      </c>
      <c r="E43" s="24">
        <v>6.9184364</v>
      </c>
      <c r="F43" s="24">
        <v>0.52299496999999995</v>
      </c>
      <c r="G43" s="24">
        <v>1.1679872</v>
      </c>
      <c r="H43" s="25"/>
      <c r="I43" s="25"/>
      <c r="J43" s="13" t="s">
        <v>50</v>
      </c>
      <c r="K43" s="63"/>
      <c r="L43" s="46">
        <v>2025</v>
      </c>
    </row>
    <row r="44" spans="1:12" x14ac:dyDescent="0.3">
      <c r="A44" s="37">
        <v>32</v>
      </c>
      <c r="B44" s="38"/>
      <c r="C44" s="39" t="s">
        <v>133</v>
      </c>
      <c r="D44" s="34" t="s">
        <v>49</v>
      </c>
      <c r="E44" s="24">
        <v>4.8623301000000003</v>
      </c>
      <c r="F44" s="24">
        <v>0.53973015999999996</v>
      </c>
      <c r="G44" s="24">
        <v>1.2110197</v>
      </c>
      <c r="H44" s="25"/>
      <c r="I44" s="25"/>
      <c r="J44" s="13" t="s">
        <v>50</v>
      </c>
      <c r="K44" s="63"/>
      <c r="L44" s="46">
        <v>2025</v>
      </c>
    </row>
    <row r="45" spans="1:12" x14ac:dyDescent="0.3">
      <c r="A45" s="37">
        <v>33</v>
      </c>
      <c r="B45" s="38"/>
      <c r="C45" s="39" t="s">
        <v>141</v>
      </c>
      <c r="D45" s="34" t="s">
        <v>150</v>
      </c>
      <c r="E45" s="24">
        <v>6.2907875000000004</v>
      </c>
      <c r="F45" s="24">
        <v>0.57185202000000002</v>
      </c>
      <c r="G45" s="24">
        <v>1.1939017999999999</v>
      </c>
      <c r="H45" s="25"/>
      <c r="I45" s="25"/>
      <c r="J45" s="13" t="s">
        <v>50</v>
      </c>
      <c r="K45" s="63"/>
      <c r="L45" s="46">
        <v>2025</v>
      </c>
    </row>
    <row r="46" spans="1:12" x14ac:dyDescent="0.3">
      <c r="A46" s="37">
        <v>34</v>
      </c>
      <c r="B46" s="38"/>
      <c r="C46" s="39" t="s">
        <v>134</v>
      </c>
      <c r="D46" s="34" t="s">
        <v>151</v>
      </c>
      <c r="E46" s="24">
        <v>3.0154659000000001</v>
      </c>
      <c r="F46" s="24">
        <v>0.59341719999999998</v>
      </c>
      <c r="G46" s="24">
        <v>1.2703684</v>
      </c>
      <c r="H46" s="25"/>
      <c r="I46" s="25"/>
      <c r="J46" s="13" t="s">
        <v>50</v>
      </c>
      <c r="K46" s="63"/>
      <c r="L46" s="46">
        <v>2025</v>
      </c>
    </row>
    <row r="47" spans="1:12" x14ac:dyDescent="0.3">
      <c r="A47" s="37">
        <v>35</v>
      </c>
      <c r="B47" s="38"/>
      <c r="C47" s="39" t="s">
        <v>142</v>
      </c>
      <c r="D47" s="34" t="s">
        <v>151</v>
      </c>
      <c r="E47" s="60">
        <v>1.1038642999999999</v>
      </c>
      <c r="F47" s="60">
        <v>1.0334368</v>
      </c>
      <c r="H47" s="25"/>
      <c r="I47" s="25"/>
      <c r="J47" s="13" t="s">
        <v>50</v>
      </c>
      <c r="K47" s="60">
        <v>1.6121589000000001</v>
      </c>
      <c r="L47" s="46">
        <v>2025</v>
      </c>
    </row>
    <row r="48" spans="1:12" x14ac:dyDescent="0.3">
      <c r="A48" s="37">
        <v>36</v>
      </c>
      <c r="B48" s="38"/>
      <c r="C48" s="39" t="s">
        <v>135</v>
      </c>
      <c r="D48" s="34" t="s">
        <v>158</v>
      </c>
      <c r="E48" s="24">
        <v>2.9362929000000002</v>
      </c>
      <c r="F48" s="24">
        <v>0.66716489999999995</v>
      </c>
      <c r="G48" s="24">
        <v>1.3474322000000001</v>
      </c>
      <c r="H48" s="25"/>
      <c r="I48" s="25"/>
      <c r="J48" s="13" t="s">
        <v>50</v>
      </c>
      <c r="K48" s="63"/>
      <c r="L48" s="46">
        <v>2025</v>
      </c>
    </row>
    <row r="49" spans="1:12" x14ac:dyDescent="0.3">
      <c r="A49" s="37">
        <v>37</v>
      </c>
      <c r="B49" s="38"/>
      <c r="C49" s="39" t="s">
        <v>136</v>
      </c>
      <c r="D49" s="34" t="s">
        <v>153</v>
      </c>
      <c r="E49" s="24">
        <v>4.6613832000000004</v>
      </c>
      <c r="F49" s="24">
        <v>0.48866626000000002</v>
      </c>
      <c r="G49" s="24">
        <v>1.1404590999999999</v>
      </c>
      <c r="H49" s="25"/>
      <c r="I49" s="25"/>
      <c r="J49" s="13" t="s">
        <v>50</v>
      </c>
      <c r="K49" s="63"/>
      <c r="L49" s="46">
        <v>2025</v>
      </c>
    </row>
    <row r="50" spans="1:12" x14ac:dyDescent="0.3">
      <c r="A50" s="37">
        <v>38</v>
      </c>
      <c r="B50" s="38"/>
      <c r="C50" s="39" t="s">
        <v>137</v>
      </c>
      <c r="D50" s="34" t="s">
        <v>155</v>
      </c>
      <c r="E50" s="24">
        <v>11.536314000000001</v>
      </c>
      <c r="F50" s="24">
        <v>0.55226823000000003</v>
      </c>
      <c r="G50" s="24">
        <v>1.2074729</v>
      </c>
      <c r="H50" s="25"/>
      <c r="I50" s="25"/>
      <c r="J50" s="13" t="s">
        <v>50</v>
      </c>
      <c r="K50" s="63"/>
      <c r="L50" s="46">
        <v>2025</v>
      </c>
    </row>
    <row r="51" spans="1:12" x14ac:dyDescent="0.3">
      <c r="A51" s="37">
        <v>39</v>
      </c>
      <c r="B51" s="38"/>
      <c r="C51" s="39" t="s">
        <v>138</v>
      </c>
      <c r="D51" s="34" t="s">
        <v>49</v>
      </c>
      <c r="E51" s="65">
        <v>3.6365299000000002</v>
      </c>
      <c r="F51" s="65">
        <v>0.43838036000000002</v>
      </c>
      <c r="G51" s="65">
        <v>1.1205012999999999</v>
      </c>
      <c r="H51" s="25"/>
      <c r="I51" s="25"/>
      <c r="J51" s="13" t="s">
        <v>50</v>
      </c>
      <c r="K51" s="63"/>
      <c r="L51" s="46">
        <v>2025</v>
      </c>
    </row>
    <row r="52" spans="1:12" x14ac:dyDescent="0.3">
      <c r="A52" s="37">
        <v>40</v>
      </c>
      <c r="B52" s="38"/>
      <c r="C52" s="39" t="s">
        <v>139</v>
      </c>
      <c r="D52" s="34" t="s">
        <v>152</v>
      </c>
      <c r="E52" s="24">
        <v>14.028375</v>
      </c>
      <c r="F52" s="24">
        <v>0.50746172000000001</v>
      </c>
      <c r="G52" s="24">
        <v>1.1938092</v>
      </c>
      <c r="H52" s="41"/>
      <c r="I52" s="41"/>
      <c r="J52" s="13" t="s">
        <v>50</v>
      </c>
      <c r="K52" s="63"/>
      <c r="L52" s="46">
        <v>2025</v>
      </c>
    </row>
    <row r="53" spans="1:12" x14ac:dyDescent="0.3">
      <c r="A53" s="37">
        <v>41</v>
      </c>
      <c r="B53" s="38"/>
      <c r="C53" s="39" t="s">
        <v>156</v>
      </c>
      <c r="D53" s="34" t="s">
        <v>152</v>
      </c>
      <c r="E53" s="24">
        <v>8.9602477</v>
      </c>
      <c r="F53" s="24">
        <v>0.66397598999999996</v>
      </c>
      <c r="G53" s="24">
        <v>1.3825225999999999</v>
      </c>
      <c r="H53" s="41"/>
      <c r="I53" s="41"/>
      <c r="J53" s="13" t="s">
        <v>50</v>
      </c>
      <c r="K53" s="63"/>
      <c r="L53" s="46">
        <v>2025</v>
      </c>
    </row>
    <row r="54" spans="1:12" x14ac:dyDescent="0.3">
      <c r="A54" s="37">
        <v>42</v>
      </c>
      <c r="B54" s="38"/>
      <c r="C54" s="39" t="s">
        <v>157</v>
      </c>
      <c r="D54" s="34" t="s">
        <v>152</v>
      </c>
      <c r="E54" s="24">
        <v>7.1394872999999999</v>
      </c>
      <c r="F54" s="24">
        <v>0.57891486999999997</v>
      </c>
      <c r="G54" s="24">
        <v>1.2055952999999999</v>
      </c>
      <c r="H54" s="41"/>
      <c r="I54" s="41"/>
      <c r="J54" s="13" t="s">
        <v>50</v>
      </c>
      <c r="K54" s="63"/>
      <c r="L54" s="46">
        <v>2025</v>
      </c>
    </row>
    <row r="55" spans="1:12" x14ac:dyDescent="0.3">
      <c r="A55" s="7">
        <v>21</v>
      </c>
      <c r="B55" s="38" t="s">
        <v>208</v>
      </c>
      <c r="C55" s="23" t="s">
        <v>51</v>
      </c>
      <c r="D55" s="10" t="s">
        <v>52</v>
      </c>
      <c r="E55" s="24">
        <v>4.2631950999999999</v>
      </c>
      <c r="F55" s="24">
        <v>0.67759767999999998</v>
      </c>
      <c r="G55" s="24">
        <v>1.3672419</v>
      </c>
      <c r="H55" s="25">
        <v>8.01</v>
      </c>
      <c r="I55" s="25">
        <v>10.42</v>
      </c>
      <c r="J55" s="13" t="s">
        <v>50</v>
      </c>
      <c r="K55" s="63"/>
      <c r="L55">
        <v>2024</v>
      </c>
    </row>
    <row r="56" spans="1:12" x14ac:dyDescent="0.3">
      <c r="A56" s="7">
        <v>22</v>
      </c>
      <c r="B56" s="8"/>
      <c r="C56" s="23" t="s">
        <v>53</v>
      </c>
      <c r="D56" s="10" t="s">
        <v>54</v>
      </c>
      <c r="E56" s="26">
        <v>19.799914000000001</v>
      </c>
      <c r="F56" s="24">
        <v>0.54516673999999998</v>
      </c>
      <c r="G56" s="24">
        <v>1.2168981999999999</v>
      </c>
      <c r="H56" s="25">
        <v>8.61</v>
      </c>
      <c r="I56" s="25">
        <v>1.57</v>
      </c>
      <c r="J56" s="13" t="s">
        <v>50</v>
      </c>
      <c r="K56" s="63"/>
      <c r="L56">
        <v>2024</v>
      </c>
    </row>
    <row r="57" spans="1:12" x14ac:dyDescent="0.3">
      <c r="A57" s="7">
        <v>23</v>
      </c>
      <c r="B57" s="8"/>
      <c r="C57" s="23" t="s">
        <v>55</v>
      </c>
      <c r="D57" s="10" t="s">
        <v>56</v>
      </c>
      <c r="E57" s="26">
        <v>17.713673</v>
      </c>
      <c r="F57" s="24">
        <v>0.64617754999999999</v>
      </c>
      <c r="G57" s="24">
        <v>1.2991196</v>
      </c>
      <c r="H57" s="27">
        <v>8.19</v>
      </c>
      <c r="I57" s="27">
        <v>-0.4</v>
      </c>
      <c r="J57" s="13" t="s">
        <v>50</v>
      </c>
      <c r="K57" s="63"/>
      <c r="L57">
        <v>2024</v>
      </c>
    </row>
    <row r="58" spans="1:12" x14ac:dyDescent="0.3">
      <c r="A58" s="7">
        <v>24</v>
      </c>
      <c r="B58" s="8"/>
      <c r="C58" s="23" t="s">
        <v>57</v>
      </c>
      <c r="D58" s="10" t="s">
        <v>58</v>
      </c>
      <c r="E58" s="24">
        <v>11.703141</v>
      </c>
      <c r="F58" s="24">
        <v>0.53042626999999998</v>
      </c>
      <c r="G58" s="24">
        <v>1.2029145999999999</v>
      </c>
      <c r="H58" s="28">
        <v>-0.66</v>
      </c>
      <c r="I58" s="28">
        <v>-5.07</v>
      </c>
      <c r="J58" s="13" t="s">
        <v>50</v>
      </c>
      <c r="K58" s="63"/>
      <c r="L58">
        <v>2024</v>
      </c>
    </row>
    <row r="59" spans="1:12" x14ac:dyDescent="0.3">
      <c r="A59" s="7">
        <v>25</v>
      </c>
      <c r="B59" s="8"/>
      <c r="C59" s="23" t="s">
        <v>59</v>
      </c>
      <c r="D59" s="10" t="s">
        <v>58</v>
      </c>
      <c r="E59" s="24">
        <v>10.660031</v>
      </c>
      <c r="F59" s="24">
        <v>0.62658780999999997</v>
      </c>
      <c r="G59" s="24">
        <v>1.2702434</v>
      </c>
      <c r="H59" s="25">
        <v>4.79</v>
      </c>
      <c r="I59" s="25">
        <v>2.92</v>
      </c>
      <c r="J59" s="13" t="s">
        <v>50</v>
      </c>
      <c r="K59" s="63"/>
      <c r="L59">
        <v>2024</v>
      </c>
    </row>
    <row r="60" spans="1:12" x14ac:dyDescent="0.3">
      <c r="A60" s="7">
        <v>26</v>
      </c>
      <c r="B60" s="8"/>
      <c r="C60" s="23" t="s">
        <v>60</v>
      </c>
      <c r="D60" s="10" t="s">
        <v>54</v>
      </c>
      <c r="E60" s="24">
        <v>4.0775791000000003</v>
      </c>
      <c r="F60" s="24">
        <v>0.66664743000000004</v>
      </c>
      <c r="G60" s="24">
        <v>1.3213185000000001</v>
      </c>
      <c r="H60" s="25">
        <v>7.38</v>
      </c>
      <c r="I60" s="25">
        <v>7.32</v>
      </c>
      <c r="J60" s="13" t="s">
        <v>50</v>
      </c>
      <c r="K60" s="63"/>
      <c r="L60">
        <v>2024</v>
      </c>
    </row>
    <row r="61" spans="1:12" x14ac:dyDescent="0.3">
      <c r="A61" s="7">
        <v>27</v>
      </c>
      <c r="B61" s="8"/>
      <c r="C61" s="23" t="s">
        <v>61</v>
      </c>
      <c r="D61" s="10" t="s">
        <v>54</v>
      </c>
      <c r="E61" s="24">
        <v>6.3679626000000003</v>
      </c>
      <c r="F61" s="24">
        <v>0.57963251000000005</v>
      </c>
      <c r="G61" s="24">
        <v>1.2683205</v>
      </c>
      <c r="H61" s="25">
        <v>-0.78</v>
      </c>
      <c r="I61" s="25">
        <v>7.39</v>
      </c>
      <c r="J61" s="13" t="s">
        <v>50</v>
      </c>
      <c r="K61" s="63"/>
      <c r="L61">
        <v>2024</v>
      </c>
    </row>
    <row r="62" spans="1:12" x14ac:dyDescent="0.3">
      <c r="A62" s="7">
        <v>29</v>
      </c>
      <c r="B62" s="8"/>
      <c r="C62" s="23" t="s">
        <v>64</v>
      </c>
      <c r="D62" s="10" t="s">
        <v>54</v>
      </c>
      <c r="E62" s="24">
        <v>6.5884904999999998</v>
      </c>
      <c r="F62" s="24">
        <v>0.62148999000000005</v>
      </c>
      <c r="G62" s="24">
        <v>1.2475295</v>
      </c>
      <c r="H62" s="25">
        <v>3.35</v>
      </c>
      <c r="I62" s="25">
        <v>6.93</v>
      </c>
      <c r="J62" s="13" t="s">
        <v>50</v>
      </c>
      <c r="K62" s="63"/>
      <c r="L62">
        <v>2024</v>
      </c>
    </row>
    <row r="63" spans="1:12" x14ac:dyDescent="0.3">
      <c r="A63" s="7">
        <v>30</v>
      </c>
      <c r="B63" s="8"/>
      <c r="C63" s="23" t="s">
        <v>65</v>
      </c>
      <c r="D63" s="10" t="s">
        <v>54</v>
      </c>
      <c r="E63" s="60">
        <v>4.5313696999999999</v>
      </c>
      <c r="F63" s="60">
        <v>0.73918561999999999</v>
      </c>
      <c r="H63" s="25">
        <v>10.210000000000001</v>
      </c>
      <c r="I63" s="25">
        <v>10.56</v>
      </c>
      <c r="J63" s="13" t="s">
        <v>50</v>
      </c>
      <c r="K63" s="60">
        <v>1.4219873999999999</v>
      </c>
      <c r="L63">
        <v>2024</v>
      </c>
    </row>
    <row r="64" spans="1:12" x14ac:dyDescent="0.3">
      <c r="A64" s="7">
        <v>31</v>
      </c>
      <c r="B64" s="8"/>
      <c r="C64" s="23" t="s">
        <v>66</v>
      </c>
      <c r="D64" s="10" t="s">
        <v>54</v>
      </c>
      <c r="E64" s="24">
        <v>4.3217663000000002</v>
      </c>
      <c r="F64" s="24">
        <v>0.67806681999999996</v>
      </c>
      <c r="G64" s="24">
        <v>1.3522186</v>
      </c>
      <c r="H64" s="25">
        <v>2.5299999999999998</v>
      </c>
      <c r="I64" s="25">
        <v>10.61</v>
      </c>
      <c r="J64" s="13" t="s">
        <v>50</v>
      </c>
      <c r="K64" s="63"/>
      <c r="L64">
        <v>2024</v>
      </c>
    </row>
    <row r="65" spans="1:14" x14ac:dyDescent="0.3">
      <c r="A65" s="7">
        <v>32</v>
      </c>
      <c r="B65" s="8"/>
      <c r="C65" s="23" t="s">
        <v>67</v>
      </c>
      <c r="D65" s="10" t="s">
        <v>58</v>
      </c>
      <c r="E65" s="24">
        <v>10.644598</v>
      </c>
      <c r="F65" s="24">
        <v>0.64439422000000002</v>
      </c>
      <c r="G65" s="24">
        <v>1.3306944000000001</v>
      </c>
      <c r="H65" s="25">
        <v>11.41</v>
      </c>
      <c r="I65" s="25">
        <v>4.5999999999999996</v>
      </c>
      <c r="J65" s="13" t="s">
        <v>50</v>
      </c>
      <c r="K65" s="63"/>
      <c r="L65">
        <v>2024</v>
      </c>
    </row>
    <row r="66" spans="1:14" x14ac:dyDescent="0.3">
      <c r="A66" s="7">
        <v>33</v>
      </c>
      <c r="B66" s="8"/>
      <c r="C66" s="23" t="s">
        <v>68</v>
      </c>
      <c r="D66" s="10" t="s">
        <v>69</v>
      </c>
      <c r="E66" s="24">
        <v>4.7711347000000002</v>
      </c>
      <c r="F66" s="24">
        <v>0.58166293999999996</v>
      </c>
      <c r="G66" s="24">
        <v>1.2001599000000001</v>
      </c>
      <c r="H66" s="25">
        <v>10.77</v>
      </c>
      <c r="I66" s="25">
        <v>3.93</v>
      </c>
      <c r="J66" s="13" t="s">
        <v>50</v>
      </c>
      <c r="K66" s="63"/>
      <c r="L66">
        <v>2024</v>
      </c>
    </row>
    <row r="67" spans="1:14" x14ac:dyDescent="0.3">
      <c r="A67" s="7">
        <v>34</v>
      </c>
      <c r="B67" s="8"/>
      <c r="C67" s="23" t="s">
        <v>70</v>
      </c>
      <c r="D67" s="10" t="s">
        <v>54</v>
      </c>
      <c r="E67" s="60">
        <v>3.0175786000000002</v>
      </c>
      <c r="F67" s="60">
        <v>0.80445290000000003</v>
      </c>
      <c r="H67" s="25">
        <v>0.91</v>
      </c>
      <c r="I67" s="25">
        <v>10.36</v>
      </c>
      <c r="J67" s="13" t="s">
        <v>50</v>
      </c>
      <c r="K67" s="60">
        <v>1.4363739</v>
      </c>
      <c r="L67">
        <v>2024</v>
      </c>
    </row>
    <row r="68" spans="1:14" x14ac:dyDescent="0.3">
      <c r="A68" s="7">
        <v>36</v>
      </c>
      <c r="B68" s="8"/>
      <c r="C68" s="23" t="s">
        <v>73</v>
      </c>
      <c r="D68" s="10" t="s">
        <v>58</v>
      </c>
      <c r="E68" s="24">
        <v>5.5132121999999999</v>
      </c>
      <c r="F68" s="24">
        <v>0.66997894999999996</v>
      </c>
      <c r="G68" s="24">
        <v>1.3106876000000001</v>
      </c>
      <c r="H68" s="25">
        <v>8.6</v>
      </c>
      <c r="I68" s="25">
        <v>7.99</v>
      </c>
      <c r="J68" s="13" t="s">
        <v>50</v>
      </c>
      <c r="K68" s="63"/>
      <c r="L68">
        <v>2024</v>
      </c>
    </row>
    <row r="69" spans="1:14" x14ac:dyDescent="0.3">
      <c r="A69" s="14">
        <v>35</v>
      </c>
      <c r="B69" s="15"/>
      <c r="C69" s="19" t="s">
        <v>71</v>
      </c>
      <c r="D69" s="16" t="s">
        <v>72</v>
      </c>
      <c r="E69" s="20">
        <v>17.553982000000001</v>
      </c>
      <c r="F69" s="20">
        <v>0.4070453</v>
      </c>
      <c r="H69" s="21">
        <v>-6.16</v>
      </c>
      <c r="I69" s="21">
        <v>1.42</v>
      </c>
      <c r="J69" s="22" t="s">
        <v>50</v>
      </c>
      <c r="K69" s="20">
        <v>1.0662522000000001</v>
      </c>
      <c r="L69">
        <v>2024</v>
      </c>
    </row>
    <row r="70" spans="1:14" x14ac:dyDescent="0.3">
      <c r="A70" s="14">
        <v>20</v>
      </c>
      <c r="B70" s="15"/>
      <c r="C70" s="19" t="s">
        <v>48</v>
      </c>
      <c r="D70" s="16" t="s">
        <v>49</v>
      </c>
      <c r="E70" s="20">
        <v>13.358699</v>
      </c>
      <c r="F70" s="20">
        <v>0.47329740999999997</v>
      </c>
      <c r="H70" s="21">
        <v>1.17</v>
      </c>
      <c r="I70" s="21">
        <v>1.62</v>
      </c>
      <c r="J70" s="22" t="s">
        <v>50</v>
      </c>
      <c r="K70" s="20">
        <v>1.1137896</v>
      </c>
      <c r="L70">
        <v>2024</v>
      </c>
    </row>
    <row r="71" spans="1:14" x14ac:dyDescent="0.3">
      <c r="A71" s="14">
        <v>37</v>
      </c>
      <c r="B71" s="15"/>
      <c r="C71" s="19" t="s">
        <v>74</v>
      </c>
      <c r="D71" s="16" t="s">
        <v>72</v>
      </c>
      <c r="E71" s="20">
        <v>22.721160000000001</v>
      </c>
      <c r="F71" s="20">
        <v>0.41013918999999999</v>
      </c>
      <c r="H71" s="21">
        <v>-2.21</v>
      </c>
      <c r="I71" s="21">
        <v>-2.04</v>
      </c>
      <c r="J71" s="22" t="s">
        <v>50</v>
      </c>
      <c r="K71" s="20">
        <v>1.0282157999999999</v>
      </c>
      <c r="L71">
        <v>2024</v>
      </c>
    </row>
    <row r="72" spans="1:14" x14ac:dyDescent="0.3">
      <c r="A72" s="14">
        <v>38</v>
      </c>
      <c r="B72" s="15"/>
      <c r="C72" s="19" t="s">
        <v>75</v>
      </c>
      <c r="D72" s="16" t="s">
        <v>72</v>
      </c>
      <c r="E72" s="20">
        <v>8.3730086000000004</v>
      </c>
      <c r="F72" s="20">
        <v>0.44111872000000002</v>
      </c>
      <c r="H72" s="21">
        <v>0.98</v>
      </c>
      <c r="I72" s="21">
        <v>4.29</v>
      </c>
      <c r="J72" s="22" t="s">
        <v>50</v>
      </c>
      <c r="K72" s="20">
        <v>1.1328384</v>
      </c>
      <c r="L72">
        <v>2024</v>
      </c>
    </row>
    <row r="73" spans="1:14" x14ac:dyDescent="0.3">
      <c r="A73" s="7">
        <v>39</v>
      </c>
      <c r="B73" s="8"/>
      <c r="C73" s="23" t="s">
        <v>76</v>
      </c>
      <c r="D73" s="10" t="s">
        <v>77</v>
      </c>
      <c r="E73" s="24">
        <v>14.321686</v>
      </c>
      <c r="F73" s="24">
        <v>0.60338687000000002</v>
      </c>
      <c r="G73" s="24">
        <v>1.2379784</v>
      </c>
      <c r="H73" s="25">
        <v>8.3699999999999992</v>
      </c>
      <c r="I73" s="25">
        <v>2.1800000000000002</v>
      </c>
      <c r="J73" s="13" t="s">
        <v>50</v>
      </c>
      <c r="K73" s="63"/>
      <c r="L73">
        <v>2024</v>
      </c>
    </row>
    <row r="74" spans="1:14" x14ac:dyDescent="0.3">
      <c r="A74" s="14">
        <v>28</v>
      </c>
      <c r="B74" s="15"/>
      <c r="C74" s="19" t="s">
        <v>62</v>
      </c>
      <c r="D74" s="16" t="s">
        <v>63</v>
      </c>
      <c r="E74" s="20">
        <v>175.63191</v>
      </c>
      <c r="F74" s="20">
        <v>0.25352152999999999</v>
      </c>
      <c r="H74" s="21">
        <v>12.06</v>
      </c>
      <c r="I74" s="21">
        <v>1.55</v>
      </c>
      <c r="J74" s="22" t="s">
        <v>50</v>
      </c>
      <c r="K74" s="20">
        <v>0.84980294000000001</v>
      </c>
      <c r="L74">
        <v>2024</v>
      </c>
    </row>
    <row r="75" spans="1:14" x14ac:dyDescent="0.3">
      <c r="A75" s="37">
        <v>43</v>
      </c>
      <c r="B75" s="38" t="s">
        <v>209</v>
      </c>
      <c r="C75" s="29" t="s">
        <v>194</v>
      </c>
      <c r="D75" s="34" t="s">
        <v>160</v>
      </c>
      <c r="E75" s="24">
        <v>5.8049603000000003</v>
      </c>
      <c r="F75" s="24">
        <v>0.69962745999999998</v>
      </c>
      <c r="G75" s="24">
        <v>1.2337575999999999</v>
      </c>
      <c r="H75" s="25">
        <v>-1.26</v>
      </c>
      <c r="I75" s="25">
        <v>2.93</v>
      </c>
      <c r="J75" s="30"/>
      <c r="K75" s="64"/>
      <c r="L75" s="46">
        <v>2025</v>
      </c>
      <c r="N75" t="s">
        <v>206</v>
      </c>
    </row>
    <row r="76" spans="1:14" x14ac:dyDescent="0.3">
      <c r="A76" s="37">
        <v>44</v>
      </c>
      <c r="B76" s="38"/>
      <c r="C76" s="29" t="s">
        <v>195</v>
      </c>
      <c r="D76" s="34" t="s">
        <v>161</v>
      </c>
      <c r="E76" s="24">
        <v>5.8095334000000003</v>
      </c>
      <c r="F76" s="24">
        <v>0.70857477000000002</v>
      </c>
      <c r="G76" s="24">
        <v>1.2931969000000001</v>
      </c>
      <c r="H76" s="25">
        <v>2.1800000000000002</v>
      </c>
      <c r="I76" s="25">
        <v>2.93</v>
      </c>
      <c r="J76" s="13"/>
      <c r="K76" s="63"/>
      <c r="L76" s="46">
        <v>2025</v>
      </c>
    </row>
    <row r="77" spans="1:14" x14ac:dyDescent="0.3">
      <c r="A77" s="37">
        <v>45</v>
      </c>
      <c r="B77" s="38"/>
      <c r="C77" s="29" t="s">
        <v>196</v>
      </c>
      <c r="D77" s="34" t="s">
        <v>162</v>
      </c>
      <c r="E77" s="60">
        <v>3.0508603999999999</v>
      </c>
      <c r="F77" s="60">
        <v>0.85454545000000004</v>
      </c>
      <c r="H77" s="25" t="s">
        <v>204</v>
      </c>
      <c r="I77" s="25" t="s">
        <v>204</v>
      </c>
      <c r="J77" s="13" t="s">
        <v>205</v>
      </c>
      <c r="K77" s="60">
        <v>1.156682</v>
      </c>
      <c r="L77" s="46">
        <v>2025</v>
      </c>
    </row>
    <row r="78" spans="1:14" x14ac:dyDescent="0.3">
      <c r="A78" s="37">
        <v>46</v>
      </c>
      <c r="B78" s="38"/>
      <c r="C78" s="39" t="s">
        <v>163</v>
      </c>
      <c r="D78" s="34" t="s">
        <v>188</v>
      </c>
      <c r="E78" s="24">
        <v>7.8475326000000001</v>
      </c>
      <c r="F78" s="24">
        <v>0.73598697000000002</v>
      </c>
      <c r="G78" s="24">
        <v>1.3409952000000001</v>
      </c>
      <c r="H78" s="25"/>
      <c r="I78" s="25"/>
      <c r="J78" s="13"/>
      <c r="K78" s="63"/>
      <c r="L78" s="46">
        <v>2025</v>
      </c>
    </row>
    <row r="79" spans="1:14" x14ac:dyDescent="0.3">
      <c r="A79" s="37">
        <v>47</v>
      </c>
      <c r="B79" s="38"/>
      <c r="C79" s="39" t="s">
        <v>164</v>
      </c>
      <c r="D79" s="34" t="s">
        <v>189</v>
      </c>
      <c r="E79" s="24">
        <v>7.4526794000000001</v>
      </c>
      <c r="F79" s="24">
        <v>0.72820821000000002</v>
      </c>
      <c r="G79" s="24">
        <v>1.2573721</v>
      </c>
      <c r="H79" s="25"/>
      <c r="I79" s="25"/>
      <c r="J79" s="13"/>
      <c r="K79" s="63"/>
      <c r="L79" s="46">
        <v>2025</v>
      </c>
    </row>
    <row r="80" spans="1:14" x14ac:dyDescent="0.3">
      <c r="A80" s="37">
        <v>48</v>
      </c>
      <c r="B80" s="38"/>
      <c r="C80" s="39" t="s">
        <v>165</v>
      </c>
      <c r="D80" s="34" t="s">
        <v>190</v>
      </c>
      <c r="E80" s="24">
        <v>3.3785371</v>
      </c>
      <c r="F80" s="24">
        <v>0.92959597000000005</v>
      </c>
      <c r="G80" s="24">
        <v>1.4216845</v>
      </c>
      <c r="H80" s="25"/>
      <c r="I80" s="25"/>
      <c r="J80" s="13"/>
      <c r="K80" s="63"/>
      <c r="L80" s="46">
        <v>2025</v>
      </c>
    </row>
    <row r="81" spans="1:12" x14ac:dyDescent="0.3">
      <c r="A81" s="37">
        <v>49</v>
      </c>
      <c r="B81" s="38"/>
      <c r="C81" s="39" t="s">
        <v>166</v>
      </c>
      <c r="D81" s="34" t="s">
        <v>191</v>
      </c>
      <c r="E81" s="24">
        <v>7.3920374000000004</v>
      </c>
      <c r="F81" s="24">
        <v>0.76689249999999998</v>
      </c>
      <c r="G81" s="24">
        <v>1.3606240000000001</v>
      </c>
      <c r="H81" s="25"/>
      <c r="I81" s="25"/>
      <c r="J81" s="13"/>
      <c r="K81" s="63"/>
      <c r="L81" s="46">
        <v>2025</v>
      </c>
    </row>
    <row r="82" spans="1:12" x14ac:dyDescent="0.3">
      <c r="A82" s="37">
        <v>50</v>
      </c>
      <c r="B82" s="38"/>
      <c r="C82" s="39" t="s">
        <v>167</v>
      </c>
      <c r="D82" s="34" t="s">
        <v>192</v>
      </c>
      <c r="E82" s="24">
        <v>6.6976361000000004</v>
      </c>
      <c r="F82" s="24">
        <v>0.75465125</v>
      </c>
      <c r="G82" s="24">
        <v>1.3601688999999999</v>
      </c>
      <c r="H82" s="25"/>
      <c r="I82" s="25"/>
      <c r="J82" s="13"/>
      <c r="K82" s="63"/>
      <c r="L82" s="46">
        <v>2025</v>
      </c>
    </row>
    <row r="83" spans="1:12" x14ac:dyDescent="0.3">
      <c r="A83" s="37">
        <v>51</v>
      </c>
      <c r="B83" s="38"/>
      <c r="C83" s="39" t="s">
        <v>168</v>
      </c>
      <c r="D83" s="34" t="s">
        <v>191</v>
      </c>
      <c r="E83" s="24">
        <v>8.4458792000000003</v>
      </c>
      <c r="F83" s="24">
        <v>0.69863005</v>
      </c>
      <c r="G83" s="24">
        <v>1.3424472999999999</v>
      </c>
      <c r="H83" s="25"/>
      <c r="I83" s="25"/>
      <c r="J83" s="13"/>
      <c r="K83" s="63"/>
      <c r="L83" s="46">
        <v>2025</v>
      </c>
    </row>
    <row r="84" spans="1:12" x14ac:dyDescent="0.3">
      <c r="A84" s="37">
        <v>52</v>
      </c>
      <c r="B84" s="38"/>
      <c r="C84" s="39" t="s">
        <v>169</v>
      </c>
      <c r="D84" s="34" t="s">
        <v>193</v>
      </c>
      <c r="E84" s="24">
        <v>8.5724362999999997</v>
      </c>
      <c r="F84" s="24">
        <v>0.73464337000000002</v>
      </c>
      <c r="G84" s="24">
        <v>1.3210763000000001</v>
      </c>
      <c r="H84" s="25"/>
      <c r="I84" s="25"/>
      <c r="J84" s="13"/>
      <c r="K84" s="63"/>
      <c r="L84" s="46">
        <v>2025</v>
      </c>
    </row>
    <row r="85" spans="1:12" x14ac:dyDescent="0.3">
      <c r="A85" s="37">
        <v>53</v>
      </c>
      <c r="B85" s="38"/>
      <c r="C85" s="39" t="s">
        <v>170</v>
      </c>
      <c r="D85" s="34" t="s">
        <v>192</v>
      </c>
      <c r="E85" s="24">
        <v>7.1005704999999999</v>
      </c>
      <c r="F85" s="24">
        <v>0.70999155000000003</v>
      </c>
      <c r="G85" s="24">
        <v>1.3099749999999999</v>
      </c>
      <c r="H85" s="25"/>
      <c r="I85" s="25"/>
      <c r="J85" s="13"/>
      <c r="K85" s="63"/>
      <c r="L85" s="46">
        <v>2025</v>
      </c>
    </row>
    <row r="86" spans="1:12" x14ac:dyDescent="0.3">
      <c r="A86" s="37">
        <v>57</v>
      </c>
      <c r="B86" s="38"/>
      <c r="C86" s="39" t="s">
        <v>203</v>
      </c>
      <c r="D86" s="34" t="s">
        <v>173</v>
      </c>
      <c r="E86" s="24">
        <v>3.0762078000000002</v>
      </c>
      <c r="F86" s="24">
        <v>0.90055923000000004</v>
      </c>
      <c r="G86" s="24">
        <v>1.3676060000000001</v>
      </c>
      <c r="H86" s="25">
        <v>14.34</v>
      </c>
      <c r="I86" s="25">
        <v>3.59</v>
      </c>
      <c r="J86" s="13"/>
      <c r="K86" s="63"/>
      <c r="L86" s="46">
        <v>2025</v>
      </c>
    </row>
    <row r="87" spans="1:12" x14ac:dyDescent="0.3">
      <c r="A87" s="37">
        <v>54</v>
      </c>
      <c r="B87" s="38"/>
      <c r="C87" s="39" t="s">
        <v>178</v>
      </c>
      <c r="D87" s="34" t="s">
        <v>177</v>
      </c>
      <c r="E87" s="60">
        <v>8.5688948000000007</v>
      </c>
      <c r="F87" s="60">
        <v>0.58422556000000003</v>
      </c>
      <c r="H87" s="25">
        <v>8.42</v>
      </c>
      <c r="I87" s="25">
        <v>1.95</v>
      </c>
      <c r="J87" s="13"/>
      <c r="K87" s="60">
        <v>1.1935576000000001</v>
      </c>
      <c r="L87" s="46">
        <v>2025</v>
      </c>
    </row>
    <row r="88" spans="1:12" x14ac:dyDescent="0.3">
      <c r="A88" s="7">
        <v>40</v>
      </c>
      <c r="B88" s="8" t="s">
        <v>210</v>
      </c>
      <c r="C88" s="29" t="s">
        <v>79</v>
      </c>
      <c r="D88" s="10" t="s">
        <v>80</v>
      </c>
      <c r="E88" s="24">
        <v>4.6149015999999996</v>
      </c>
      <c r="F88" s="24">
        <v>0.70751662999999998</v>
      </c>
      <c r="G88" s="24">
        <v>1.3419743</v>
      </c>
      <c r="H88" s="30">
        <v>6.83</v>
      </c>
      <c r="I88" s="30">
        <v>3.8</v>
      </c>
      <c r="J88" s="30" t="s">
        <v>81</v>
      </c>
      <c r="K88" s="64"/>
      <c r="L88">
        <v>2024</v>
      </c>
    </row>
    <row r="89" spans="1:12" x14ac:dyDescent="0.3">
      <c r="A89" s="7">
        <v>41</v>
      </c>
      <c r="B89" s="8"/>
      <c r="C89" s="29" t="s">
        <v>82</v>
      </c>
      <c r="D89" s="10" t="s">
        <v>83</v>
      </c>
      <c r="E89" s="24">
        <v>10.991274000000001</v>
      </c>
      <c r="F89" s="24">
        <v>0.69678355999999997</v>
      </c>
      <c r="G89" s="24">
        <v>1.3507718</v>
      </c>
      <c r="H89" s="30">
        <v>5.1100000000000003</v>
      </c>
      <c r="I89" s="30">
        <v>4.53</v>
      </c>
      <c r="J89" s="30" t="s">
        <v>81</v>
      </c>
      <c r="K89" s="64"/>
      <c r="L89">
        <v>2024</v>
      </c>
    </row>
    <row r="90" spans="1:12" x14ac:dyDescent="0.3">
      <c r="A90" s="7">
        <v>42</v>
      </c>
      <c r="B90" s="8"/>
      <c r="C90" s="29" t="s">
        <v>84</v>
      </c>
      <c r="D90" s="10" t="s">
        <v>85</v>
      </c>
      <c r="E90" s="24">
        <v>4.53</v>
      </c>
      <c r="F90" s="24">
        <v>0.81</v>
      </c>
      <c r="G90" s="24">
        <v>1.33</v>
      </c>
      <c r="H90" s="30">
        <v>6.91</v>
      </c>
      <c r="I90" s="30">
        <v>5.44</v>
      </c>
      <c r="J90" s="30" t="s">
        <v>81</v>
      </c>
      <c r="K90" s="64"/>
      <c r="L90">
        <v>2024</v>
      </c>
    </row>
    <row r="91" spans="1:12" x14ac:dyDescent="0.3">
      <c r="A91" s="7">
        <v>43</v>
      </c>
      <c r="B91" s="8"/>
      <c r="C91" s="29" t="s">
        <v>84</v>
      </c>
      <c r="D91" s="10" t="s">
        <v>85</v>
      </c>
      <c r="E91" s="24">
        <v>5.0716185999999999</v>
      </c>
      <c r="F91" s="24">
        <v>0.74504457999999996</v>
      </c>
      <c r="G91" s="24">
        <v>1.2784743999999999</v>
      </c>
      <c r="H91" s="30">
        <v>8.9600000000000009</v>
      </c>
      <c r="I91" s="30">
        <v>8.98</v>
      </c>
      <c r="J91" s="30" t="s">
        <v>81</v>
      </c>
      <c r="K91" s="64"/>
      <c r="L91">
        <v>2024</v>
      </c>
    </row>
    <row r="92" spans="1:12" x14ac:dyDescent="0.3">
      <c r="A92" s="7">
        <v>44</v>
      </c>
      <c r="B92" s="8"/>
      <c r="C92" s="29" t="s">
        <v>84</v>
      </c>
      <c r="D92" s="10" t="s">
        <v>85</v>
      </c>
      <c r="E92" s="24">
        <v>5.1669020000000003</v>
      </c>
      <c r="F92" s="24">
        <v>0.73318718999999999</v>
      </c>
      <c r="G92" s="24">
        <v>1.2976907</v>
      </c>
      <c r="H92" s="30">
        <v>6.09</v>
      </c>
      <c r="I92" s="30">
        <v>2.36</v>
      </c>
      <c r="J92" s="30" t="s">
        <v>81</v>
      </c>
      <c r="K92" s="64"/>
      <c r="L92">
        <v>2024</v>
      </c>
    </row>
    <row r="93" spans="1:12" x14ac:dyDescent="0.3">
      <c r="A93" s="37">
        <v>55</v>
      </c>
      <c r="B93" s="38" t="s">
        <v>219</v>
      </c>
      <c r="C93" s="39" t="s">
        <v>201</v>
      </c>
      <c r="D93" s="34" t="s">
        <v>172</v>
      </c>
      <c r="E93" s="24">
        <v>2.5752028999999999</v>
      </c>
      <c r="F93" s="24">
        <v>1.2001085</v>
      </c>
      <c r="G93" s="24">
        <v>1.6363198999999999</v>
      </c>
      <c r="H93" s="25">
        <v>11.37</v>
      </c>
      <c r="I93" s="25">
        <v>1.92</v>
      </c>
      <c r="J93" s="13"/>
      <c r="K93" s="63"/>
      <c r="L93" s="46">
        <v>2025</v>
      </c>
    </row>
    <row r="94" spans="1:12" x14ac:dyDescent="0.3">
      <c r="A94" s="37">
        <v>56</v>
      </c>
      <c r="B94" s="38"/>
      <c r="C94" s="39" t="s">
        <v>176</v>
      </c>
      <c r="D94" s="34" t="s">
        <v>172</v>
      </c>
      <c r="E94" s="24">
        <v>2.7002670000000002</v>
      </c>
      <c r="F94" s="24">
        <v>1.213748</v>
      </c>
      <c r="G94" s="24">
        <v>1.586244</v>
      </c>
      <c r="H94" s="25">
        <v>11.83</v>
      </c>
      <c r="I94" s="25">
        <v>0.92</v>
      </c>
      <c r="J94" s="13"/>
      <c r="K94" s="63"/>
      <c r="L94" s="46">
        <v>2025</v>
      </c>
    </row>
    <row r="95" spans="1:12" x14ac:dyDescent="0.3">
      <c r="A95" s="37">
        <v>58</v>
      </c>
      <c r="B95" s="38"/>
      <c r="C95" s="39" t="s">
        <v>175</v>
      </c>
      <c r="D95" s="34" t="s">
        <v>174</v>
      </c>
      <c r="E95" s="24">
        <v>1.9352218000000001</v>
      </c>
      <c r="F95" s="24">
        <v>1.3605714</v>
      </c>
      <c r="G95" s="24">
        <v>1.5625167</v>
      </c>
      <c r="H95" s="25">
        <v>2.12</v>
      </c>
      <c r="I95" s="25">
        <v>7.97</v>
      </c>
      <c r="J95" s="13"/>
      <c r="K95" s="63"/>
      <c r="L95" s="46">
        <v>2025</v>
      </c>
    </row>
    <row r="96" spans="1:12" x14ac:dyDescent="0.3">
      <c r="A96" s="37">
        <v>59</v>
      </c>
      <c r="B96" s="38"/>
      <c r="C96" s="39" t="s">
        <v>176</v>
      </c>
      <c r="D96" s="34" t="s">
        <v>172</v>
      </c>
      <c r="E96" s="24">
        <v>2.7002670000000002</v>
      </c>
      <c r="F96" s="24">
        <v>1.213748</v>
      </c>
      <c r="G96" s="24">
        <v>1.586244</v>
      </c>
      <c r="H96" s="25">
        <v>11.83</v>
      </c>
      <c r="I96" s="25">
        <v>0.92</v>
      </c>
      <c r="J96" s="13"/>
      <c r="K96" s="63"/>
      <c r="L96" s="46">
        <v>2025</v>
      </c>
    </row>
    <row r="97" spans="1:12" x14ac:dyDescent="0.3">
      <c r="A97" s="7">
        <v>45</v>
      </c>
      <c r="B97" s="31" t="s">
        <v>220</v>
      </c>
      <c r="C97" s="32" t="s">
        <v>87</v>
      </c>
      <c r="D97" s="33" t="s">
        <v>88</v>
      </c>
      <c r="E97" s="24">
        <v>3.0694995</v>
      </c>
      <c r="F97" s="24">
        <v>1.0878205000000001</v>
      </c>
      <c r="G97" s="24">
        <v>1.5689841</v>
      </c>
      <c r="H97" s="24">
        <v>9.77</v>
      </c>
      <c r="I97" s="24">
        <v>-1.17</v>
      </c>
      <c r="J97" s="30" t="s">
        <v>81</v>
      </c>
      <c r="K97" s="64"/>
      <c r="L97">
        <v>2024</v>
      </c>
    </row>
    <row r="98" spans="1:12" x14ac:dyDescent="0.3">
      <c r="A98" s="7">
        <v>46</v>
      </c>
      <c r="B98" s="33"/>
      <c r="C98" s="32" t="s">
        <v>89</v>
      </c>
      <c r="D98" s="33" t="s">
        <v>88</v>
      </c>
      <c r="E98" s="24">
        <v>2.2891900999999999</v>
      </c>
      <c r="F98" s="24">
        <v>1.0619810000000001</v>
      </c>
      <c r="G98" s="24">
        <v>1.4963291999999999</v>
      </c>
      <c r="H98" s="24">
        <v>11.48</v>
      </c>
      <c r="I98" s="24">
        <v>0.36</v>
      </c>
      <c r="J98" s="30" t="s">
        <v>81</v>
      </c>
      <c r="K98" s="64"/>
      <c r="L98">
        <v>2024</v>
      </c>
    </row>
    <row r="99" spans="1:12" x14ac:dyDescent="0.3">
      <c r="A99" s="7">
        <v>47</v>
      </c>
      <c r="B99" s="33"/>
      <c r="C99" s="32" t="s">
        <v>90</v>
      </c>
      <c r="D99" s="33" t="s">
        <v>88</v>
      </c>
      <c r="E99" s="24">
        <v>2.6410182999999998</v>
      </c>
      <c r="F99" s="24">
        <v>1.1160378</v>
      </c>
      <c r="G99" s="24">
        <v>1.5028785</v>
      </c>
      <c r="H99" s="24">
        <v>9.83</v>
      </c>
      <c r="I99" s="24">
        <v>-1.54</v>
      </c>
      <c r="J99" s="30" t="s">
        <v>81</v>
      </c>
      <c r="K99" s="64"/>
      <c r="L99">
        <v>2024</v>
      </c>
    </row>
    <row r="100" spans="1:12" x14ac:dyDescent="0.3">
      <c r="A100" s="7">
        <v>48</v>
      </c>
      <c r="B100" s="33"/>
      <c r="C100" s="32" t="s">
        <v>91</v>
      </c>
      <c r="D100" s="33" t="s">
        <v>88</v>
      </c>
      <c r="E100" s="24">
        <v>2.4270472000000001</v>
      </c>
      <c r="F100" s="24">
        <v>1.2237909</v>
      </c>
      <c r="G100" s="24">
        <v>1.5051988999999999</v>
      </c>
      <c r="H100" s="24">
        <v>8.1199999999999992</v>
      </c>
      <c r="I100" s="24">
        <v>-0.73</v>
      </c>
      <c r="J100" s="30" t="s">
        <v>81</v>
      </c>
      <c r="K100" s="64"/>
      <c r="L100">
        <v>2024</v>
      </c>
    </row>
    <row r="101" spans="1:12" x14ac:dyDescent="0.3">
      <c r="A101" s="7">
        <v>49</v>
      </c>
      <c r="B101" s="33"/>
      <c r="C101" s="32" t="s">
        <v>92</v>
      </c>
      <c r="D101" s="33" t="s">
        <v>88</v>
      </c>
      <c r="E101" s="24">
        <v>3.0674687</v>
      </c>
      <c r="F101" s="24">
        <v>1.1088718</v>
      </c>
      <c r="G101" s="24">
        <v>1.5697958000000001</v>
      </c>
      <c r="H101" s="24">
        <v>8.98</v>
      </c>
      <c r="I101" s="24">
        <v>-0.69</v>
      </c>
      <c r="J101" s="30" t="s">
        <v>81</v>
      </c>
      <c r="K101" s="64"/>
      <c r="L101">
        <v>2024</v>
      </c>
    </row>
    <row r="102" spans="1:12" x14ac:dyDescent="0.3">
      <c r="A102" s="7">
        <v>50</v>
      </c>
      <c r="B102" s="33"/>
      <c r="C102" s="32" t="s">
        <v>93</v>
      </c>
      <c r="D102" s="33" t="s">
        <v>88</v>
      </c>
      <c r="E102" s="24">
        <v>3.6090258</v>
      </c>
      <c r="F102" s="24">
        <v>1.018926</v>
      </c>
      <c r="G102" s="24">
        <v>1.5482205</v>
      </c>
      <c r="H102" s="24">
        <v>11.7</v>
      </c>
      <c r="I102" s="24">
        <v>0.36</v>
      </c>
      <c r="J102" s="30" t="s">
        <v>81</v>
      </c>
      <c r="K102" s="64"/>
      <c r="L102">
        <v>2024</v>
      </c>
    </row>
    <row r="103" spans="1:12" x14ac:dyDescent="0.3">
      <c r="A103" s="7">
        <v>51</v>
      </c>
      <c r="B103" s="33"/>
      <c r="C103" s="32" t="s">
        <v>94</v>
      </c>
      <c r="D103" s="33" t="s">
        <v>88</v>
      </c>
      <c r="E103" s="24">
        <v>3.1068517999999998</v>
      </c>
      <c r="F103" s="24">
        <v>1.0299684</v>
      </c>
      <c r="G103" s="24">
        <v>1.5199166</v>
      </c>
      <c r="H103" s="24">
        <v>12.29</v>
      </c>
      <c r="I103" s="24">
        <v>2.3199999999999998</v>
      </c>
      <c r="J103" s="30" t="s">
        <v>81</v>
      </c>
      <c r="K103" s="64"/>
      <c r="L103">
        <v>2024</v>
      </c>
    </row>
    <row r="104" spans="1:12" x14ac:dyDescent="0.3">
      <c r="A104" s="7">
        <v>52</v>
      </c>
      <c r="B104" s="33"/>
      <c r="C104" s="32" t="s">
        <v>95</v>
      </c>
      <c r="D104" s="33" t="s">
        <v>88</v>
      </c>
      <c r="E104" s="24">
        <v>3.3681662999999999</v>
      </c>
      <c r="F104" s="24">
        <v>1.0100643</v>
      </c>
      <c r="G104" s="24">
        <v>1.4914305000000001</v>
      </c>
      <c r="H104" s="24">
        <v>12.98</v>
      </c>
      <c r="I104" s="24">
        <v>2.63</v>
      </c>
      <c r="J104" s="30" t="s">
        <v>81</v>
      </c>
      <c r="K104" s="64"/>
      <c r="L104">
        <v>2024</v>
      </c>
    </row>
    <row r="105" spans="1:12" x14ac:dyDescent="0.3">
      <c r="A105" s="7">
        <v>53</v>
      </c>
      <c r="B105" s="33"/>
      <c r="C105" s="32" t="s">
        <v>96</v>
      </c>
      <c r="D105" s="33" t="s">
        <v>88</v>
      </c>
      <c r="E105" s="24">
        <v>2.8073066999999998</v>
      </c>
      <c r="F105" s="24">
        <v>1.0534678</v>
      </c>
      <c r="G105" s="24">
        <v>1.5458483999999999</v>
      </c>
      <c r="H105" s="24">
        <v>20.5</v>
      </c>
      <c r="I105" s="24">
        <v>5.45</v>
      </c>
      <c r="J105" s="30" t="s">
        <v>81</v>
      </c>
      <c r="K105" s="64"/>
      <c r="L105">
        <v>2024</v>
      </c>
    </row>
    <row r="106" spans="1:12" x14ac:dyDescent="0.3">
      <c r="A106" s="7">
        <v>54</v>
      </c>
      <c r="B106" s="33"/>
      <c r="C106" s="32" t="s">
        <v>97</v>
      </c>
      <c r="D106" s="33" t="s">
        <v>88</v>
      </c>
      <c r="E106" s="24">
        <v>3.1103890000000001</v>
      </c>
      <c r="F106" s="24">
        <v>1.0926715</v>
      </c>
      <c r="G106" s="24">
        <v>1.5037609999999999</v>
      </c>
      <c r="H106" s="24">
        <v>10.89</v>
      </c>
      <c r="I106" s="24">
        <v>0.19</v>
      </c>
      <c r="J106" s="30" t="s">
        <v>81</v>
      </c>
      <c r="K106" s="64"/>
      <c r="L106">
        <v>2024</v>
      </c>
    </row>
    <row r="107" spans="1:12" x14ac:dyDescent="0.3">
      <c r="A107" s="7">
        <v>55</v>
      </c>
      <c r="B107" s="33"/>
      <c r="C107" s="32" t="s">
        <v>98</v>
      </c>
      <c r="D107" s="33" t="s">
        <v>88</v>
      </c>
      <c r="E107" s="60">
        <v>4.3552216000000001</v>
      </c>
      <c r="F107" s="60">
        <v>0.92182122</v>
      </c>
      <c r="H107" s="24">
        <v>10.95</v>
      </c>
      <c r="I107" s="24">
        <v>-2.96</v>
      </c>
      <c r="J107" s="30" t="s">
        <v>81</v>
      </c>
      <c r="K107" s="60">
        <v>1.5720343000000001</v>
      </c>
      <c r="L107">
        <v>2024</v>
      </c>
    </row>
    <row r="108" spans="1:12" x14ac:dyDescent="0.3">
      <c r="A108" s="7">
        <v>56</v>
      </c>
      <c r="B108" s="33"/>
      <c r="C108" s="9" t="s">
        <v>99</v>
      </c>
      <c r="D108" s="33" t="s">
        <v>100</v>
      </c>
      <c r="E108" s="11">
        <v>2.5410629999999998</v>
      </c>
      <c r="F108" s="11">
        <v>1.4081307000000001</v>
      </c>
      <c r="G108" s="11">
        <v>1.6120125999999999</v>
      </c>
      <c r="H108" s="24">
        <v>21.7</v>
      </c>
      <c r="I108" s="24">
        <v>4.57</v>
      </c>
      <c r="J108" s="30" t="s">
        <v>81</v>
      </c>
      <c r="K108" s="64"/>
      <c r="L108">
        <v>2024</v>
      </c>
    </row>
    <row r="109" spans="1:12" x14ac:dyDescent="0.3">
      <c r="A109" s="7">
        <v>57</v>
      </c>
      <c r="B109" s="33"/>
      <c r="C109" s="9" t="s">
        <v>101</v>
      </c>
      <c r="D109" s="33" t="s">
        <v>100</v>
      </c>
      <c r="E109" s="61">
        <v>2.6623643000000001</v>
      </c>
      <c r="F109" s="61">
        <v>1.5254558</v>
      </c>
      <c r="H109" s="24">
        <v>20.47</v>
      </c>
      <c r="I109" s="24">
        <v>1.22</v>
      </c>
      <c r="J109" s="30" t="s">
        <v>81</v>
      </c>
      <c r="K109" s="61">
        <v>1.5790894</v>
      </c>
      <c r="L109">
        <v>2024</v>
      </c>
    </row>
    <row r="110" spans="1:12" x14ac:dyDescent="0.3">
      <c r="A110" s="7">
        <v>58</v>
      </c>
      <c r="B110" s="33"/>
      <c r="C110" s="9" t="s">
        <v>102</v>
      </c>
      <c r="D110" s="10" t="s">
        <v>103</v>
      </c>
      <c r="E110" s="11">
        <v>1.8932445</v>
      </c>
      <c r="F110" s="11">
        <v>1.120441</v>
      </c>
      <c r="G110" s="11">
        <v>1.6853969</v>
      </c>
      <c r="H110" s="24">
        <v>13.38</v>
      </c>
      <c r="I110" s="24">
        <v>4.66</v>
      </c>
      <c r="J110" s="30" t="s">
        <v>81</v>
      </c>
      <c r="K110" s="64"/>
      <c r="L110">
        <v>2024</v>
      </c>
    </row>
    <row r="111" spans="1:12" x14ac:dyDescent="0.3">
      <c r="A111" s="7">
        <v>59</v>
      </c>
      <c r="B111" s="33"/>
      <c r="C111" s="9" t="s">
        <v>104</v>
      </c>
      <c r="D111" s="10" t="s">
        <v>105</v>
      </c>
      <c r="E111" s="11">
        <v>2.8126639999999998</v>
      </c>
      <c r="F111" s="11">
        <v>1.2820104999999999</v>
      </c>
      <c r="G111" s="11">
        <v>1.5806909</v>
      </c>
      <c r="H111" s="24">
        <v>2.16</v>
      </c>
      <c r="I111" s="24">
        <v>-3.58</v>
      </c>
      <c r="J111" s="30" t="s">
        <v>81</v>
      </c>
      <c r="K111" s="64"/>
      <c r="L111">
        <v>2024</v>
      </c>
    </row>
    <row r="112" spans="1:12" x14ac:dyDescent="0.3">
      <c r="A112" s="7">
        <v>60</v>
      </c>
      <c r="B112" s="33"/>
      <c r="C112" s="9" t="s">
        <v>106</v>
      </c>
      <c r="D112" s="10" t="s">
        <v>105</v>
      </c>
      <c r="E112" s="11">
        <v>3.0038193</v>
      </c>
      <c r="F112" s="11">
        <v>1.3164754000000001</v>
      </c>
      <c r="G112" s="11">
        <v>1.5301155</v>
      </c>
      <c r="H112" s="24">
        <v>20.62</v>
      </c>
      <c r="I112" s="24">
        <v>0.06</v>
      </c>
      <c r="J112" s="30" t="s">
        <v>81</v>
      </c>
      <c r="K112" s="64"/>
      <c r="L112">
        <v>2024</v>
      </c>
    </row>
    <row r="113" spans="1:12" x14ac:dyDescent="0.3">
      <c r="A113" s="7">
        <v>61</v>
      </c>
      <c r="B113" s="33"/>
      <c r="C113" s="9" t="s">
        <v>107</v>
      </c>
      <c r="D113" s="10" t="s">
        <v>105</v>
      </c>
      <c r="E113" s="11">
        <v>2.6464896000000002</v>
      </c>
      <c r="F113" s="11">
        <v>1.3179102</v>
      </c>
      <c r="G113" s="11">
        <v>1.5418554</v>
      </c>
      <c r="H113" s="24">
        <v>12.28</v>
      </c>
      <c r="I113" s="24">
        <v>-1.7</v>
      </c>
      <c r="J113" s="30" t="s">
        <v>81</v>
      </c>
      <c r="K113" s="64"/>
      <c r="L113">
        <v>2024</v>
      </c>
    </row>
    <row r="114" spans="1:12" x14ac:dyDescent="0.3">
      <c r="A114" s="7">
        <v>62</v>
      </c>
      <c r="B114" s="33"/>
      <c r="C114" s="9" t="s">
        <v>108</v>
      </c>
      <c r="D114" s="10" t="s">
        <v>105</v>
      </c>
      <c r="E114" s="11">
        <v>2.6096987</v>
      </c>
      <c r="F114" s="11">
        <v>1.2843937000000001</v>
      </c>
      <c r="G114" s="11">
        <v>1.5859576</v>
      </c>
      <c r="H114" s="24">
        <v>18.02</v>
      </c>
      <c r="I114" s="24">
        <v>0.77</v>
      </c>
      <c r="J114" s="30" t="s">
        <v>81</v>
      </c>
      <c r="K114" s="64"/>
      <c r="L114">
        <v>2024</v>
      </c>
    </row>
    <row r="115" spans="1:12" x14ac:dyDescent="0.3">
      <c r="A115" s="7">
        <v>63</v>
      </c>
      <c r="B115" s="33"/>
      <c r="C115" s="9" t="s">
        <v>109</v>
      </c>
      <c r="D115" s="10" t="s">
        <v>105</v>
      </c>
      <c r="E115" s="11">
        <v>4.1554232999999998</v>
      </c>
      <c r="F115" s="11">
        <v>1.0758078</v>
      </c>
      <c r="G115" s="11">
        <v>1.5560365</v>
      </c>
      <c r="H115" s="24">
        <v>23.7</v>
      </c>
      <c r="I115" s="24">
        <v>6.6</v>
      </c>
      <c r="J115" s="30"/>
      <c r="K115" s="64"/>
      <c r="L115">
        <v>2024</v>
      </c>
    </row>
    <row r="116" spans="1:12" x14ac:dyDescent="0.3">
      <c r="A116" s="37">
        <v>60</v>
      </c>
      <c r="B116" s="38" t="s">
        <v>221</v>
      </c>
      <c r="C116" s="39" t="s">
        <v>111</v>
      </c>
      <c r="D116" s="34" t="s">
        <v>186</v>
      </c>
      <c r="E116" s="24">
        <v>1.4426768000000001</v>
      </c>
      <c r="F116" s="24">
        <v>1.1705015000000001</v>
      </c>
      <c r="G116" s="24">
        <v>2.2023035000000002</v>
      </c>
      <c r="H116" s="25">
        <v>10.34</v>
      </c>
      <c r="I116" s="25">
        <v>3.36</v>
      </c>
      <c r="J116" s="13"/>
      <c r="K116" s="63"/>
      <c r="L116" s="46">
        <v>2025</v>
      </c>
    </row>
    <row r="117" spans="1:12" x14ac:dyDescent="0.3">
      <c r="A117" s="37">
        <v>61</v>
      </c>
      <c r="B117" s="38"/>
      <c r="C117" s="39" t="s">
        <v>183</v>
      </c>
      <c r="D117" s="34" t="s">
        <v>185</v>
      </c>
      <c r="E117" s="24">
        <v>1.5235141000000001</v>
      </c>
      <c r="F117" s="24">
        <v>1.1685551999999999</v>
      </c>
      <c r="G117" s="24">
        <v>2.2803138000000001</v>
      </c>
      <c r="H117" s="25">
        <v>6.05</v>
      </c>
      <c r="I117" s="25">
        <v>1.94</v>
      </c>
      <c r="J117" s="13"/>
      <c r="K117" s="63"/>
      <c r="L117" s="46">
        <v>2025</v>
      </c>
    </row>
    <row r="118" spans="1:12" x14ac:dyDescent="0.3">
      <c r="A118" s="37">
        <v>62</v>
      </c>
      <c r="B118" s="38"/>
      <c r="C118" s="39" t="s">
        <v>184</v>
      </c>
      <c r="D118" s="34" t="s">
        <v>187</v>
      </c>
      <c r="E118" s="60">
        <v>5.0078598999999997</v>
      </c>
      <c r="F118" s="60">
        <v>0.89512652000000004</v>
      </c>
      <c r="H118" s="25">
        <v>8.77</v>
      </c>
      <c r="I118" s="25">
        <v>4.9800000000000004</v>
      </c>
      <c r="J118" s="30"/>
      <c r="K118" s="60" t="s">
        <v>206</v>
      </c>
      <c r="L118" s="46">
        <v>2025</v>
      </c>
    </row>
    <row r="119" spans="1:12" x14ac:dyDescent="0.3">
      <c r="A119" s="7">
        <v>64</v>
      </c>
      <c r="B119" s="31" t="s">
        <v>222</v>
      </c>
      <c r="C119" s="29" t="s">
        <v>111</v>
      </c>
      <c r="D119" s="34" t="s">
        <v>112</v>
      </c>
      <c r="E119" s="60">
        <v>3.2409005</v>
      </c>
      <c r="F119" s="60">
        <v>1.0489337999999999</v>
      </c>
      <c r="H119" s="24">
        <v>13.13</v>
      </c>
      <c r="I119" s="24">
        <v>3.23</v>
      </c>
      <c r="J119" s="30" t="s">
        <v>81</v>
      </c>
      <c r="K119" s="60">
        <v>1.6631912</v>
      </c>
      <c r="L119">
        <v>2024</v>
      </c>
    </row>
    <row r="120" spans="1:12" x14ac:dyDescent="0.3">
      <c r="A120" s="7">
        <v>65</v>
      </c>
      <c r="B120" s="33"/>
      <c r="C120" s="29" t="s">
        <v>113</v>
      </c>
      <c r="D120" s="34" t="s">
        <v>114</v>
      </c>
      <c r="E120" s="60">
        <v>3.4010318000000002</v>
      </c>
      <c r="F120" s="60">
        <v>1.0745076</v>
      </c>
      <c r="H120" s="24">
        <v>11.84</v>
      </c>
      <c r="I120" s="24">
        <v>2.75</v>
      </c>
      <c r="J120" s="30" t="s">
        <v>81</v>
      </c>
      <c r="K120" s="60">
        <v>1.6990331999999999</v>
      </c>
      <c r="L120">
        <v>2024</v>
      </c>
    </row>
    <row r="121" spans="1:12" x14ac:dyDescent="0.3">
      <c r="A121" s="7">
        <v>66</v>
      </c>
      <c r="B121" s="33"/>
      <c r="C121" s="29" t="s">
        <v>115</v>
      </c>
      <c r="D121" s="34" t="s">
        <v>116</v>
      </c>
      <c r="E121" s="60">
        <v>5.2600332999999999</v>
      </c>
      <c r="F121" s="60">
        <v>1.0744480999999999</v>
      </c>
      <c r="H121" s="24">
        <v>10.35</v>
      </c>
      <c r="I121" s="24">
        <v>3.55</v>
      </c>
      <c r="J121" s="30" t="s">
        <v>81</v>
      </c>
      <c r="K121" s="60">
        <v>1.7888577000000001</v>
      </c>
      <c r="L121">
        <v>2024</v>
      </c>
    </row>
    <row r="122" spans="1:12" x14ac:dyDescent="0.3">
      <c r="A122" s="7">
        <v>67</v>
      </c>
      <c r="B122" s="33"/>
      <c r="C122" s="29" t="s">
        <v>117</v>
      </c>
      <c r="D122" s="34" t="s">
        <v>118</v>
      </c>
      <c r="E122" s="60">
        <v>4.0686662</v>
      </c>
      <c r="F122" s="60">
        <v>1.0628266</v>
      </c>
      <c r="H122" s="24">
        <v>11.62</v>
      </c>
      <c r="I122" s="24">
        <v>5.07</v>
      </c>
      <c r="J122" s="30" t="s">
        <v>81</v>
      </c>
      <c r="K122" s="60">
        <v>1.5867036999999999</v>
      </c>
      <c r="L122">
        <v>2024</v>
      </c>
    </row>
  </sheetData>
  <phoneticPr fontId="2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15"/>
  <sheetViews>
    <sheetView zoomScaleNormal="100" workbookViewId="0">
      <pane ySplit="1" topLeftCell="A2" activePane="bottomLeft" state="frozen"/>
      <selection pane="bottomLeft" activeCell="F11" sqref="F11"/>
    </sheetView>
  </sheetViews>
  <sheetFormatPr defaultRowHeight="16.5" x14ac:dyDescent="0.3"/>
  <cols>
    <col min="2" max="2" width="11.375" style="36" customWidth="1"/>
    <col min="3" max="3" width="18.5" style="36" customWidth="1"/>
    <col min="4" max="4" width="25.875" style="35" customWidth="1"/>
    <col min="5" max="6" width="11.125" style="44" customWidth="1"/>
    <col min="7" max="7" width="9" style="35"/>
  </cols>
  <sheetData>
    <row r="1" spans="1:14" x14ac:dyDescent="0.3">
      <c r="A1" s="1" t="s">
        <v>0</v>
      </c>
      <c r="B1" s="2" t="s">
        <v>1</v>
      </c>
      <c r="C1" s="3" t="s">
        <v>2</v>
      </c>
      <c r="D1" s="3" t="s">
        <v>3</v>
      </c>
      <c r="E1" s="40" t="s">
        <v>7</v>
      </c>
      <c r="F1" s="40" t="s">
        <v>8</v>
      </c>
    </row>
    <row r="2" spans="1:14" s="35" customFormat="1" x14ac:dyDescent="0.3">
      <c r="A2" s="37">
        <v>16</v>
      </c>
      <c r="B2" s="38" t="s">
        <v>252</v>
      </c>
      <c r="C2" s="29" t="s">
        <v>122</v>
      </c>
      <c r="D2" s="34" t="s">
        <v>229</v>
      </c>
      <c r="E2" s="55">
        <v>13.4</v>
      </c>
      <c r="F2" s="55">
        <v>24.37</v>
      </c>
      <c r="G2" s="51">
        <v>2025</v>
      </c>
      <c r="H2"/>
      <c r="I2"/>
      <c r="J2"/>
      <c r="K2"/>
      <c r="L2"/>
      <c r="M2"/>
      <c r="N2"/>
    </row>
    <row r="3" spans="1:14" s="35" customFormat="1" x14ac:dyDescent="0.3">
      <c r="A3" s="37">
        <v>17</v>
      </c>
      <c r="B3" s="38"/>
      <c r="C3" s="29" t="s">
        <v>41</v>
      </c>
      <c r="D3" s="34" t="s">
        <v>229</v>
      </c>
      <c r="E3" s="41">
        <v>15.93</v>
      </c>
      <c r="F3" s="41">
        <v>15.78</v>
      </c>
      <c r="G3" s="51">
        <v>2025</v>
      </c>
      <c r="H3"/>
      <c r="I3"/>
      <c r="J3"/>
      <c r="K3"/>
      <c r="L3"/>
      <c r="M3"/>
      <c r="N3"/>
    </row>
    <row r="4" spans="1:14" s="35" customFormat="1" x14ac:dyDescent="0.3">
      <c r="A4" s="37">
        <v>18</v>
      </c>
      <c r="B4" s="38"/>
      <c r="C4" s="29" t="s">
        <v>43</v>
      </c>
      <c r="D4" s="34" t="s">
        <v>229</v>
      </c>
      <c r="E4" s="41">
        <v>18.760000000000002</v>
      </c>
      <c r="F4" s="41">
        <v>3.97</v>
      </c>
      <c r="G4" s="51">
        <v>2025</v>
      </c>
      <c r="H4"/>
      <c r="I4"/>
      <c r="J4"/>
      <c r="K4"/>
      <c r="L4"/>
      <c r="M4"/>
      <c r="N4"/>
    </row>
    <row r="5" spans="1:14" s="35" customFormat="1" x14ac:dyDescent="0.3">
      <c r="A5" s="37">
        <v>19</v>
      </c>
      <c r="B5" s="38"/>
      <c r="C5" s="29" t="s">
        <v>45</v>
      </c>
      <c r="D5" s="34" t="s">
        <v>229</v>
      </c>
      <c r="E5" s="41">
        <v>15.11</v>
      </c>
      <c r="F5" s="41">
        <v>9.7200000000000006</v>
      </c>
      <c r="G5" s="51">
        <v>2025</v>
      </c>
      <c r="H5"/>
      <c r="I5"/>
      <c r="J5"/>
      <c r="K5"/>
      <c r="L5"/>
      <c r="M5"/>
      <c r="N5"/>
    </row>
    <row r="6" spans="1:14" s="35" customFormat="1" x14ac:dyDescent="0.3">
      <c r="A6" s="37">
        <v>20</v>
      </c>
      <c r="B6" s="38"/>
      <c r="C6" s="29" t="s">
        <v>46</v>
      </c>
      <c r="D6" s="34" t="s">
        <v>228</v>
      </c>
      <c r="E6" s="25">
        <v>19.260000000000002</v>
      </c>
      <c r="F6" s="25">
        <v>3</v>
      </c>
      <c r="G6" s="51">
        <v>2025</v>
      </c>
      <c r="H6"/>
      <c r="I6"/>
      <c r="J6"/>
      <c r="K6"/>
      <c r="L6"/>
      <c r="M6"/>
      <c r="N6"/>
    </row>
    <row r="7" spans="1:14" x14ac:dyDescent="0.3">
      <c r="A7" s="38"/>
      <c r="B7" s="38" t="s">
        <v>253</v>
      </c>
      <c r="C7" s="29" t="s">
        <v>232</v>
      </c>
      <c r="D7" s="34" t="s">
        <v>233</v>
      </c>
      <c r="E7" s="30">
        <v>15.97</v>
      </c>
      <c r="F7" s="30">
        <v>2.65</v>
      </c>
      <c r="G7" s="35">
        <v>2024</v>
      </c>
    </row>
    <row r="8" spans="1:14" x14ac:dyDescent="0.3">
      <c r="A8" s="38"/>
      <c r="B8" s="38"/>
      <c r="C8" s="29" t="s">
        <v>234</v>
      </c>
      <c r="D8" s="34" t="s">
        <v>235</v>
      </c>
      <c r="E8" s="30">
        <v>19.62</v>
      </c>
      <c r="F8" s="30">
        <v>7.36</v>
      </c>
      <c r="G8" s="35">
        <v>2024</v>
      </c>
    </row>
    <row r="9" spans="1:14" x14ac:dyDescent="0.3">
      <c r="A9" s="38"/>
      <c r="B9" s="38"/>
      <c r="C9" s="29" t="s">
        <v>236</v>
      </c>
      <c r="D9" s="34" t="s">
        <v>237</v>
      </c>
      <c r="E9" s="30">
        <v>21.09</v>
      </c>
      <c r="F9" s="30">
        <v>4.13</v>
      </c>
      <c r="G9" s="35">
        <v>2024</v>
      </c>
    </row>
    <row r="10" spans="1:14" x14ac:dyDescent="0.3">
      <c r="A10" s="38"/>
      <c r="B10" s="38"/>
      <c r="C10" s="29" t="s">
        <v>238</v>
      </c>
      <c r="D10" s="34" t="s">
        <v>239</v>
      </c>
      <c r="E10" s="30">
        <v>24.48</v>
      </c>
      <c r="F10" s="30">
        <v>1.67</v>
      </c>
      <c r="G10" s="35">
        <v>2024</v>
      </c>
    </row>
    <row r="11" spans="1:14" x14ac:dyDescent="0.3">
      <c r="A11" s="38"/>
      <c r="B11" s="38"/>
      <c r="C11" s="29" t="s">
        <v>240</v>
      </c>
      <c r="D11" s="34" t="s">
        <v>241</v>
      </c>
      <c r="E11" s="24">
        <v>17.723203364241439</v>
      </c>
      <c r="F11" s="24">
        <v>8.8196253753158071</v>
      </c>
      <c r="G11" s="35">
        <v>2024</v>
      </c>
    </row>
    <row r="12" spans="1:14" s="35" customFormat="1" x14ac:dyDescent="0.3">
      <c r="A12" s="37">
        <v>21</v>
      </c>
      <c r="B12" s="38" t="s">
        <v>250</v>
      </c>
      <c r="C12" s="39" t="s">
        <v>123</v>
      </c>
      <c r="D12" s="34" t="s">
        <v>151</v>
      </c>
      <c r="E12" s="30">
        <v>8.07</v>
      </c>
      <c r="F12" s="30">
        <v>5.95</v>
      </c>
      <c r="G12" s="51">
        <v>2025</v>
      </c>
      <c r="H12"/>
      <c r="I12"/>
      <c r="J12"/>
      <c r="K12"/>
      <c r="L12"/>
      <c r="M12"/>
      <c r="N12"/>
    </row>
    <row r="13" spans="1:14" s="35" customFormat="1" x14ac:dyDescent="0.3">
      <c r="A13" s="37">
        <v>22</v>
      </c>
      <c r="B13" s="38"/>
      <c r="C13" s="39" t="s">
        <v>124</v>
      </c>
      <c r="D13" s="34" t="s">
        <v>151</v>
      </c>
      <c r="E13" s="54">
        <v>11.58</v>
      </c>
      <c r="F13" s="54">
        <v>25.48</v>
      </c>
      <c r="G13" s="51">
        <v>2025</v>
      </c>
      <c r="H13"/>
      <c r="I13"/>
      <c r="J13"/>
      <c r="K13"/>
      <c r="L13"/>
      <c r="M13"/>
      <c r="N13"/>
    </row>
    <row r="14" spans="1:14" x14ac:dyDescent="0.3">
      <c r="A14" s="37">
        <v>23</v>
      </c>
      <c r="B14" s="38"/>
      <c r="C14" s="39" t="s">
        <v>125</v>
      </c>
      <c r="D14" s="34" t="s">
        <v>150</v>
      </c>
      <c r="E14" s="54">
        <v>20.350000000000001</v>
      </c>
      <c r="F14" s="54">
        <v>-4.0199999999999996</v>
      </c>
      <c r="G14" s="51">
        <v>2025</v>
      </c>
      <c r="H14" s="35" t="s">
        <v>227</v>
      </c>
    </row>
    <row r="15" spans="1:14" x14ac:dyDescent="0.3">
      <c r="A15" s="37">
        <v>24</v>
      </c>
      <c r="B15" s="38"/>
      <c r="C15" s="39" t="s">
        <v>126</v>
      </c>
      <c r="D15" s="34" t="s">
        <v>152</v>
      </c>
      <c r="E15" s="30">
        <v>7.09</v>
      </c>
      <c r="F15" s="30">
        <v>2.76</v>
      </c>
      <c r="G15" s="51">
        <v>2025</v>
      </c>
      <c r="H15" s="35" t="s">
        <v>227</v>
      </c>
    </row>
    <row r="16" spans="1:14" x14ac:dyDescent="0.3">
      <c r="A16" s="37">
        <v>25</v>
      </c>
      <c r="B16" s="38"/>
      <c r="C16" s="39" t="s">
        <v>127</v>
      </c>
      <c r="D16" s="34" t="s">
        <v>153</v>
      </c>
      <c r="E16" s="30">
        <v>0.17</v>
      </c>
      <c r="F16" s="30">
        <v>4.79</v>
      </c>
      <c r="G16" s="51">
        <v>2025</v>
      </c>
    </row>
    <row r="17" spans="1:8" x14ac:dyDescent="0.3">
      <c r="A17" s="37">
        <v>26</v>
      </c>
      <c r="B17" s="38"/>
      <c r="C17" s="39" t="s">
        <v>128</v>
      </c>
      <c r="D17" s="34" t="s">
        <v>150</v>
      </c>
      <c r="E17" s="30">
        <v>11.45</v>
      </c>
      <c r="F17" s="30">
        <v>-2.44</v>
      </c>
      <c r="G17" s="51">
        <v>2025</v>
      </c>
    </row>
    <row r="18" spans="1:8" x14ac:dyDescent="0.3">
      <c r="A18" s="37">
        <v>27</v>
      </c>
      <c r="B18" s="38"/>
      <c r="C18" s="39" t="s">
        <v>140</v>
      </c>
      <c r="D18" s="34" t="s">
        <v>150</v>
      </c>
      <c r="E18" s="30">
        <v>8.6199999999999992</v>
      </c>
      <c r="F18" s="30">
        <v>1.91</v>
      </c>
      <c r="G18" s="51">
        <v>2025</v>
      </c>
    </row>
    <row r="19" spans="1:8" x14ac:dyDescent="0.3">
      <c r="A19" s="37">
        <v>28</v>
      </c>
      <c r="B19" s="38"/>
      <c r="C19" s="39" t="s">
        <v>129</v>
      </c>
      <c r="D19" s="34" t="s">
        <v>152</v>
      </c>
      <c r="E19" s="30">
        <v>5.65</v>
      </c>
      <c r="F19" s="30">
        <v>-0.27</v>
      </c>
      <c r="G19" s="51">
        <v>2025</v>
      </c>
    </row>
    <row r="20" spans="1:8" x14ac:dyDescent="0.3">
      <c r="A20" s="37">
        <v>29</v>
      </c>
      <c r="B20" s="38"/>
      <c r="C20" s="39" t="s">
        <v>130</v>
      </c>
      <c r="D20" s="34" t="s">
        <v>153</v>
      </c>
      <c r="E20" s="30">
        <v>1.77</v>
      </c>
      <c r="F20" s="30">
        <v>-0.12</v>
      </c>
      <c r="G20" s="51">
        <v>2025</v>
      </c>
    </row>
    <row r="21" spans="1:8" x14ac:dyDescent="0.3">
      <c r="A21" s="37">
        <v>30</v>
      </c>
      <c r="B21" s="38"/>
      <c r="C21" s="39" t="s">
        <v>131</v>
      </c>
      <c r="D21" s="34" t="s">
        <v>150</v>
      </c>
      <c r="E21" s="30">
        <v>10.31</v>
      </c>
      <c r="F21" s="30">
        <v>3.08</v>
      </c>
      <c r="G21" s="51">
        <v>2025</v>
      </c>
    </row>
    <row r="22" spans="1:8" x14ac:dyDescent="0.3">
      <c r="A22" s="37">
        <v>31</v>
      </c>
      <c r="B22" s="38"/>
      <c r="C22" s="39" t="s">
        <v>132</v>
      </c>
      <c r="D22" s="34" t="s">
        <v>150</v>
      </c>
      <c r="E22" s="30">
        <v>1.67</v>
      </c>
      <c r="F22" s="30">
        <v>-1.53</v>
      </c>
      <c r="G22" s="51">
        <v>2025</v>
      </c>
    </row>
    <row r="23" spans="1:8" x14ac:dyDescent="0.3">
      <c r="A23" s="37">
        <v>32</v>
      </c>
      <c r="B23" s="38"/>
      <c r="C23" s="39" t="s">
        <v>133</v>
      </c>
      <c r="D23" s="34" t="s">
        <v>49</v>
      </c>
      <c r="E23" s="30">
        <v>-1.17</v>
      </c>
      <c r="F23" s="30">
        <v>6.46</v>
      </c>
      <c r="G23" s="51">
        <v>2025</v>
      </c>
    </row>
    <row r="24" spans="1:8" x14ac:dyDescent="0.3">
      <c r="A24" s="37">
        <v>33</v>
      </c>
      <c r="B24" s="38"/>
      <c r="C24" s="39" t="s">
        <v>141</v>
      </c>
      <c r="D24" s="34" t="s">
        <v>150</v>
      </c>
      <c r="E24" s="30">
        <v>5.82</v>
      </c>
      <c r="F24" s="30">
        <v>-2.3199999999999998</v>
      </c>
      <c r="G24" s="51">
        <v>2025</v>
      </c>
    </row>
    <row r="25" spans="1:8" x14ac:dyDescent="0.3">
      <c r="A25" s="37">
        <v>34</v>
      </c>
      <c r="B25" s="38"/>
      <c r="C25" s="39" t="s">
        <v>134</v>
      </c>
      <c r="D25" s="34" t="s">
        <v>151</v>
      </c>
      <c r="E25" s="54">
        <v>-7.66</v>
      </c>
      <c r="F25" s="54">
        <v>8.66</v>
      </c>
      <c r="G25" s="51">
        <v>2025</v>
      </c>
    </row>
    <row r="26" spans="1:8" x14ac:dyDescent="0.3">
      <c r="A26" s="37">
        <v>35</v>
      </c>
      <c r="B26" s="38"/>
      <c r="C26" s="39" t="s">
        <v>142</v>
      </c>
      <c r="D26" s="34" t="s">
        <v>151</v>
      </c>
      <c r="E26" s="30">
        <v>0.76</v>
      </c>
      <c r="F26" s="30">
        <v>10.93</v>
      </c>
      <c r="G26" s="51">
        <v>2025</v>
      </c>
    </row>
    <row r="27" spans="1:8" x14ac:dyDescent="0.3">
      <c r="A27" s="37">
        <v>36</v>
      </c>
      <c r="B27" s="38"/>
      <c r="C27" s="39" t="s">
        <v>135</v>
      </c>
      <c r="D27" s="34" t="s">
        <v>158</v>
      </c>
      <c r="E27" s="30">
        <v>3.07</v>
      </c>
      <c r="F27" s="30">
        <v>10.94</v>
      </c>
      <c r="G27" s="51">
        <v>2025</v>
      </c>
    </row>
    <row r="28" spans="1:8" x14ac:dyDescent="0.3">
      <c r="A28" s="37">
        <v>37</v>
      </c>
      <c r="B28" s="38"/>
      <c r="C28" s="39" t="s">
        <v>136</v>
      </c>
      <c r="D28" s="34" t="s">
        <v>153</v>
      </c>
      <c r="E28" s="30">
        <v>1.44</v>
      </c>
      <c r="F28" s="30">
        <v>6.68</v>
      </c>
      <c r="G28" s="51">
        <v>2025</v>
      </c>
    </row>
    <row r="29" spans="1:8" x14ac:dyDescent="0.3">
      <c r="A29" s="37">
        <v>38</v>
      </c>
      <c r="B29" s="38"/>
      <c r="C29" s="39" t="s">
        <v>137</v>
      </c>
      <c r="D29" s="34" t="s">
        <v>155</v>
      </c>
      <c r="E29" s="30">
        <v>-0.97</v>
      </c>
      <c r="F29" s="30">
        <v>4.4400000000000004</v>
      </c>
      <c r="G29" s="51">
        <v>2025</v>
      </c>
      <c r="H29" s="35" t="s">
        <v>227</v>
      </c>
    </row>
    <row r="30" spans="1:8" x14ac:dyDescent="0.3">
      <c r="A30" s="37">
        <v>39</v>
      </c>
      <c r="B30" s="38"/>
      <c r="C30" s="39" t="s">
        <v>138</v>
      </c>
      <c r="D30" s="34" t="s">
        <v>49</v>
      </c>
      <c r="E30" s="30">
        <v>5.15</v>
      </c>
      <c r="F30" s="30">
        <v>1.73</v>
      </c>
      <c r="G30" s="51">
        <v>2025</v>
      </c>
    </row>
    <row r="31" spans="1:8" x14ac:dyDescent="0.3">
      <c r="A31" s="37">
        <v>40</v>
      </c>
      <c r="B31" s="38"/>
      <c r="C31" s="39" t="s">
        <v>139</v>
      </c>
      <c r="D31" s="34" t="s">
        <v>152</v>
      </c>
      <c r="E31" s="30">
        <v>9.17</v>
      </c>
      <c r="F31" s="30">
        <v>6.08</v>
      </c>
      <c r="G31" s="51">
        <v>2025</v>
      </c>
    </row>
    <row r="32" spans="1:8" x14ac:dyDescent="0.3">
      <c r="A32" s="37">
        <v>41</v>
      </c>
      <c r="B32" s="38"/>
      <c r="C32" s="39" t="s">
        <v>156</v>
      </c>
      <c r="D32" s="34" t="s">
        <v>152</v>
      </c>
      <c r="E32" s="30">
        <v>5.66</v>
      </c>
      <c r="F32" s="30">
        <v>5.47</v>
      </c>
      <c r="G32" s="51">
        <v>2025</v>
      </c>
    </row>
    <row r="33" spans="1:7" x14ac:dyDescent="0.3">
      <c r="A33" s="37">
        <v>42</v>
      </c>
      <c r="B33" s="38"/>
      <c r="C33" s="39" t="s">
        <v>157</v>
      </c>
      <c r="D33" s="34" t="s">
        <v>152</v>
      </c>
      <c r="E33" s="30">
        <v>9.56</v>
      </c>
      <c r="F33" s="30">
        <v>1.69</v>
      </c>
      <c r="G33" s="51">
        <v>2025</v>
      </c>
    </row>
    <row r="34" spans="1:7" x14ac:dyDescent="0.3">
      <c r="A34" s="38"/>
      <c r="B34" s="38" t="s">
        <v>251</v>
      </c>
      <c r="C34" s="39" t="s">
        <v>48</v>
      </c>
      <c r="D34" s="34" t="s">
        <v>49</v>
      </c>
      <c r="E34" s="25">
        <v>1.17</v>
      </c>
      <c r="F34" s="25">
        <v>1.62</v>
      </c>
      <c r="G34" s="35">
        <v>2024</v>
      </c>
    </row>
    <row r="35" spans="1:7" x14ac:dyDescent="0.3">
      <c r="A35" s="38"/>
      <c r="B35" s="38"/>
      <c r="C35" s="39" t="s">
        <v>51</v>
      </c>
      <c r="D35" s="34" t="s">
        <v>52</v>
      </c>
      <c r="E35" s="25">
        <v>8.01</v>
      </c>
      <c r="F35" s="25">
        <v>10.42</v>
      </c>
      <c r="G35" s="35">
        <v>2024</v>
      </c>
    </row>
    <row r="36" spans="1:7" x14ac:dyDescent="0.3">
      <c r="A36" s="38"/>
      <c r="B36" s="38"/>
      <c r="C36" s="39" t="s">
        <v>53</v>
      </c>
      <c r="D36" s="34" t="s">
        <v>54</v>
      </c>
      <c r="E36" s="25">
        <v>8.61</v>
      </c>
      <c r="F36" s="25">
        <v>1.57</v>
      </c>
      <c r="G36" s="35">
        <v>2024</v>
      </c>
    </row>
    <row r="37" spans="1:7" x14ac:dyDescent="0.3">
      <c r="A37" s="38"/>
      <c r="B37" s="38"/>
      <c r="C37" s="39" t="s">
        <v>55</v>
      </c>
      <c r="D37" s="34" t="s">
        <v>56</v>
      </c>
      <c r="E37" s="52">
        <v>8.19</v>
      </c>
      <c r="F37" s="52">
        <v>-0.4</v>
      </c>
      <c r="G37" s="35">
        <v>2024</v>
      </c>
    </row>
    <row r="38" spans="1:7" x14ac:dyDescent="0.3">
      <c r="A38" s="38"/>
      <c r="B38" s="38"/>
      <c r="C38" s="39" t="s">
        <v>57</v>
      </c>
      <c r="D38" s="34" t="s">
        <v>58</v>
      </c>
      <c r="E38" s="25">
        <v>-0.66</v>
      </c>
      <c r="F38" s="25">
        <v>-5.07</v>
      </c>
      <c r="G38" s="35">
        <v>2024</v>
      </c>
    </row>
    <row r="39" spans="1:7" x14ac:dyDescent="0.3">
      <c r="A39" s="38"/>
      <c r="B39" s="38"/>
      <c r="C39" s="39" t="s">
        <v>59</v>
      </c>
      <c r="D39" s="34" t="s">
        <v>58</v>
      </c>
      <c r="E39" s="25">
        <v>4.79</v>
      </c>
      <c r="F39" s="25">
        <v>2.92</v>
      </c>
      <c r="G39" s="35">
        <v>2024</v>
      </c>
    </row>
    <row r="40" spans="1:7" x14ac:dyDescent="0.3">
      <c r="A40" s="38"/>
      <c r="B40" s="38"/>
      <c r="C40" s="39" t="s">
        <v>60</v>
      </c>
      <c r="D40" s="34" t="s">
        <v>54</v>
      </c>
      <c r="E40" s="25">
        <v>7.38</v>
      </c>
      <c r="F40" s="25">
        <v>7.32</v>
      </c>
      <c r="G40" s="35">
        <v>2024</v>
      </c>
    </row>
    <row r="41" spans="1:7" x14ac:dyDescent="0.3">
      <c r="A41" s="38"/>
      <c r="B41" s="38"/>
      <c r="C41" s="39" t="s">
        <v>61</v>
      </c>
      <c r="D41" s="34" t="s">
        <v>54</v>
      </c>
      <c r="E41" s="25">
        <v>-0.78</v>
      </c>
      <c r="F41" s="25">
        <v>7.39</v>
      </c>
      <c r="G41" s="35">
        <v>2024</v>
      </c>
    </row>
    <row r="42" spans="1:7" x14ac:dyDescent="0.3">
      <c r="A42" s="38"/>
      <c r="B42" s="38"/>
      <c r="C42" s="39" t="s">
        <v>62</v>
      </c>
      <c r="D42" s="34" t="s">
        <v>63</v>
      </c>
      <c r="E42" s="25">
        <v>12.06</v>
      </c>
      <c r="F42" s="25">
        <v>1.55</v>
      </c>
      <c r="G42" s="35">
        <v>2024</v>
      </c>
    </row>
    <row r="43" spans="1:7" x14ac:dyDescent="0.3">
      <c r="A43" s="38"/>
      <c r="B43" s="38"/>
      <c r="C43" s="39" t="s">
        <v>64</v>
      </c>
      <c r="D43" s="34" t="s">
        <v>54</v>
      </c>
      <c r="E43" s="25">
        <v>3.35</v>
      </c>
      <c r="F43" s="25">
        <v>6.93</v>
      </c>
      <c r="G43" s="35">
        <v>2024</v>
      </c>
    </row>
    <row r="44" spans="1:7" x14ac:dyDescent="0.3">
      <c r="A44" s="38"/>
      <c r="B44" s="38"/>
      <c r="C44" s="39" t="s">
        <v>65</v>
      </c>
      <c r="D44" s="34" t="s">
        <v>54</v>
      </c>
      <c r="E44" s="25">
        <v>10.210000000000001</v>
      </c>
      <c r="F44" s="25">
        <v>10.56</v>
      </c>
      <c r="G44" s="35">
        <v>2024</v>
      </c>
    </row>
    <row r="45" spans="1:7" x14ac:dyDescent="0.3">
      <c r="A45" s="38"/>
      <c r="B45" s="38"/>
      <c r="C45" s="39" t="s">
        <v>66</v>
      </c>
      <c r="D45" s="34" t="s">
        <v>54</v>
      </c>
      <c r="E45" s="25">
        <v>2.5299999999999998</v>
      </c>
      <c r="F45" s="25">
        <v>10.61</v>
      </c>
      <c r="G45" s="35">
        <v>2024</v>
      </c>
    </row>
    <row r="46" spans="1:7" x14ac:dyDescent="0.3">
      <c r="A46" s="38"/>
      <c r="B46" s="38"/>
      <c r="C46" s="39" t="s">
        <v>67</v>
      </c>
      <c r="D46" s="34" t="s">
        <v>58</v>
      </c>
      <c r="E46" s="25">
        <v>11.41</v>
      </c>
      <c r="F46" s="25">
        <v>4.5999999999999996</v>
      </c>
      <c r="G46" s="35">
        <v>2024</v>
      </c>
    </row>
    <row r="47" spans="1:7" x14ac:dyDescent="0.3">
      <c r="A47" s="38"/>
      <c r="B47" s="38"/>
      <c r="C47" s="39" t="s">
        <v>68</v>
      </c>
      <c r="D47" s="34" t="s">
        <v>69</v>
      </c>
      <c r="E47" s="25">
        <v>10.77</v>
      </c>
      <c r="F47" s="25">
        <v>3.93</v>
      </c>
      <c r="G47" s="35">
        <v>2024</v>
      </c>
    </row>
    <row r="48" spans="1:7" x14ac:dyDescent="0.3">
      <c r="A48" s="38"/>
      <c r="B48" s="38"/>
      <c r="C48" s="39" t="s">
        <v>70</v>
      </c>
      <c r="D48" s="34" t="s">
        <v>54</v>
      </c>
      <c r="E48" s="25">
        <v>0.91</v>
      </c>
      <c r="F48" s="25">
        <v>10.36</v>
      </c>
      <c r="G48" s="35">
        <v>2024</v>
      </c>
    </row>
    <row r="49" spans="1:8" x14ac:dyDescent="0.3">
      <c r="A49" s="38"/>
      <c r="B49" s="38"/>
      <c r="C49" s="39" t="s">
        <v>71</v>
      </c>
      <c r="D49" s="34" t="s">
        <v>72</v>
      </c>
      <c r="E49" s="53">
        <v>-6.16</v>
      </c>
      <c r="F49" s="53">
        <v>1.42</v>
      </c>
      <c r="G49" s="35">
        <v>2024</v>
      </c>
    </row>
    <row r="50" spans="1:8" x14ac:dyDescent="0.3">
      <c r="A50" s="38"/>
      <c r="B50" s="38"/>
      <c r="C50" s="39" t="s">
        <v>73</v>
      </c>
      <c r="D50" s="34" t="s">
        <v>58</v>
      </c>
      <c r="E50" s="25">
        <v>8.6</v>
      </c>
      <c r="F50" s="25">
        <v>7.99</v>
      </c>
      <c r="G50" s="35">
        <v>2024</v>
      </c>
    </row>
    <row r="51" spans="1:8" x14ac:dyDescent="0.3">
      <c r="A51" s="38"/>
      <c r="B51" s="38"/>
      <c r="C51" s="39" t="s">
        <v>74</v>
      </c>
      <c r="D51" s="34" t="s">
        <v>72</v>
      </c>
      <c r="E51" s="53">
        <v>-2.21</v>
      </c>
      <c r="F51" s="53">
        <v>-2.04</v>
      </c>
      <c r="G51" s="35">
        <v>2024</v>
      </c>
    </row>
    <row r="52" spans="1:8" x14ac:dyDescent="0.3">
      <c r="A52" s="38"/>
      <c r="B52" s="38"/>
      <c r="C52" s="39" t="s">
        <v>75</v>
      </c>
      <c r="D52" s="34" t="s">
        <v>72</v>
      </c>
      <c r="E52" s="25">
        <v>0.98</v>
      </c>
      <c r="F52" s="25">
        <v>4.29</v>
      </c>
      <c r="G52" s="35">
        <v>2024</v>
      </c>
    </row>
    <row r="53" spans="1:8" x14ac:dyDescent="0.3">
      <c r="A53" s="38"/>
      <c r="B53" s="38"/>
      <c r="C53" s="39" t="s">
        <v>76</v>
      </c>
      <c r="D53" s="34" t="s">
        <v>77</v>
      </c>
      <c r="E53" s="25">
        <v>8.3699999999999992</v>
      </c>
      <c r="F53" s="25">
        <v>2.1800000000000002</v>
      </c>
      <c r="G53" s="35">
        <v>2024</v>
      </c>
    </row>
    <row r="54" spans="1:8" x14ac:dyDescent="0.3">
      <c r="A54" s="37">
        <v>43</v>
      </c>
      <c r="B54" s="38" t="s">
        <v>256</v>
      </c>
      <c r="C54" s="29" t="s">
        <v>194</v>
      </c>
      <c r="D54" s="34" t="s">
        <v>160</v>
      </c>
      <c r="E54" s="53">
        <v>-1.26</v>
      </c>
      <c r="F54" s="53">
        <v>2.93</v>
      </c>
      <c r="G54" s="51">
        <v>2025</v>
      </c>
      <c r="H54" t="s">
        <v>206</v>
      </c>
    </row>
    <row r="55" spans="1:8" x14ac:dyDescent="0.3">
      <c r="A55" s="37">
        <v>44</v>
      </c>
      <c r="B55" s="38"/>
      <c r="C55" s="29" t="s">
        <v>195</v>
      </c>
      <c r="D55" s="34" t="s">
        <v>161</v>
      </c>
      <c r="E55" s="53">
        <v>2.1800000000000002</v>
      </c>
      <c r="F55" s="53">
        <v>2.93</v>
      </c>
      <c r="G55" s="51">
        <v>2025</v>
      </c>
    </row>
    <row r="56" spans="1:8" x14ac:dyDescent="0.3">
      <c r="A56" s="37">
        <v>45</v>
      </c>
      <c r="B56" s="38"/>
      <c r="C56" s="29" t="s">
        <v>196</v>
      </c>
      <c r="D56" s="34" t="s">
        <v>162</v>
      </c>
      <c r="E56" s="53" t="s">
        <v>204</v>
      </c>
      <c r="F56" s="53" t="s">
        <v>204</v>
      </c>
      <c r="G56" s="51">
        <v>2025</v>
      </c>
    </row>
    <row r="57" spans="1:8" x14ac:dyDescent="0.3">
      <c r="A57" s="37">
        <v>46</v>
      </c>
      <c r="B57" s="38"/>
      <c r="C57" s="39" t="s">
        <v>163</v>
      </c>
      <c r="D57" s="34" t="s">
        <v>188</v>
      </c>
      <c r="E57" s="54">
        <v>2.46</v>
      </c>
      <c r="F57" s="54">
        <v>4.5599999999999996</v>
      </c>
      <c r="G57" s="51">
        <v>2025</v>
      </c>
    </row>
    <row r="58" spans="1:8" x14ac:dyDescent="0.3">
      <c r="A58" s="37">
        <v>47</v>
      </c>
      <c r="B58" s="38"/>
      <c r="C58" s="39" t="s">
        <v>164</v>
      </c>
      <c r="D58" s="34" t="s">
        <v>189</v>
      </c>
      <c r="E58" s="54">
        <v>5.83</v>
      </c>
      <c r="F58" s="54">
        <v>2.36</v>
      </c>
      <c r="G58" s="51">
        <v>2025</v>
      </c>
    </row>
    <row r="59" spans="1:8" x14ac:dyDescent="0.3">
      <c r="A59" s="37">
        <v>48</v>
      </c>
      <c r="B59" s="38"/>
      <c r="C59" s="39" t="s">
        <v>165</v>
      </c>
      <c r="D59" s="34" t="s">
        <v>190</v>
      </c>
      <c r="E59" s="54">
        <v>9.32</v>
      </c>
      <c r="F59" s="54">
        <v>3.43</v>
      </c>
      <c r="G59" s="51">
        <v>2025</v>
      </c>
    </row>
    <row r="60" spans="1:8" x14ac:dyDescent="0.3">
      <c r="A60" s="37">
        <v>49</v>
      </c>
      <c r="B60" s="38"/>
      <c r="C60" s="39" t="s">
        <v>166</v>
      </c>
      <c r="D60" s="34" t="s">
        <v>191</v>
      </c>
      <c r="E60" s="54">
        <v>9.2899999999999991</v>
      </c>
      <c r="F60" s="54">
        <v>0.41</v>
      </c>
      <c r="G60" s="51">
        <v>2025</v>
      </c>
    </row>
    <row r="61" spans="1:8" x14ac:dyDescent="0.3">
      <c r="A61" s="37">
        <v>50</v>
      </c>
      <c r="B61" s="38"/>
      <c r="C61" s="39" t="s">
        <v>167</v>
      </c>
      <c r="D61" s="34" t="s">
        <v>192</v>
      </c>
      <c r="E61" s="54">
        <v>9.3800000000000008</v>
      </c>
      <c r="F61" s="54">
        <v>-0.66</v>
      </c>
      <c r="G61" s="51">
        <v>2025</v>
      </c>
    </row>
    <row r="62" spans="1:8" x14ac:dyDescent="0.3">
      <c r="A62" s="37">
        <v>51</v>
      </c>
      <c r="B62" s="38"/>
      <c r="C62" s="39" t="s">
        <v>168</v>
      </c>
      <c r="D62" s="34" t="s">
        <v>191</v>
      </c>
      <c r="E62" s="54">
        <v>0.98</v>
      </c>
      <c r="F62" s="54">
        <v>5.25</v>
      </c>
      <c r="G62" s="51">
        <v>2025</v>
      </c>
    </row>
    <row r="63" spans="1:8" x14ac:dyDescent="0.3">
      <c r="A63" s="37">
        <v>52</v>
      </c>
      <c r="B63" s="38"/>
      <c r="C63" s="39" t="s">
        <v>169</v>
      </c>
      <c r="D63" s="34" t="s">
        <v>193</v>
      </c>
      <c r="E63" s="54">
        <v>6.82</v>
      </c>
      <c r="F63" s="54">
        <v>2.08</v>
      </c>
      <c r="G63" s="51">
        <v>2025</v>
      </c>
    </row>
    <row r="64" spans="1:8" x14ac:dyDescent="0.3">
      <c r="A64" s="37">
        <v>53</v>
      </c>
      <c r="B64" s="38"/>
      <c r="C64" s="39" t="s">
        <v>170</v>
      </c>
      <c r="D64" s="34" t="s">
        <v>192</v>
      </c>
      <c r="E64" s="54">
        <v>1.56</v>
      </c>
      <c r="F64" s="54">
        <v>1.42</v>
      </c>
      <c r="G64" s="51">
        <v>2025</v>
      </c>
    </row>
    <row r="65" spans="1:7" x14ac:dyDescent="0.3">
      <c r="A65" s="37">
        <v>54</v>
      </c>
      <c r="B65" s="38"/>
      <c r="C65" s="39" t="s">
        <v>178</v>
      </c>
      <c r="D65" s="34" t="s">
        <v>177</v>
      </c>
      <c r="E65" s="53">
        <v>8.42</v>
      </c>
      <c r="F65" s="53">
        <v>1.95</v>
      </c>
      <c r="G65" s="51">
        <v>2025</v>
      </c>
    </row>
    <row r="66" spans="1:7" x14ac:dyDescent="0.3">
      <c r="A66" s="37">
        <v>57</v>
      </c>
      <c r="B66" s="38"/>
      <c r="C66" s="39" t="s">
        <v>203</v>
      </c>
      <c r="D66" s="34" t="s">
        <v>173</v>
      </c>
      <c r="E66" s="53">
        <v>14.34</v>
      </c>
      <c r="F66" s="53">
        <v>3.59</v>
      </c>
      <c r="G66" s="51">
        <v>2025</v>
      </c>
    </row>
    <row r="67" spans="1:7" x14ac:dyDescent="0.3">
      <c r="A67" s="38"/>
      <c r="B67" s="38" t="s">
        <v>257</v>
      </c>
      <c r="C67" s="29" t="s">
        <v>79</v>
      </c>
      <c r="D67" s="34" t="s">
        <v>80</v>
      </c>
      <c r="E67" s="54">
        <v>6.83</v>
      </c>
      <c r="F67" s="54">
        <v>3.8</v>
      </c>
      <c r="G67" s="35">
        <v>2024</v>
      </c>
    </row>
    <row r="68" spans="1:7" x14ac:dyDescent="0.3">
      <c r="A68" s="31"/>
      <c r="B68" s="38"/>
      <c r="C68" s="29" t="s">
        <v>82</v>
      </c>
      <c r="D68" s="34" t="s">
        <v>83</v>
      </c>
      <c r="E68" s="54">
        <v>5.1100000000000003</v>
      </c>
      <c r="F68" s="54">
        <v>4.53</v>
      </c>
      <c r="G68" s="35">
        <v>2024</v>
      </c>
    </row>
    <row r="69" spans="1:7" x14ac:dyDescent="0.3">
      <c r="A69" s="33"/>
      <c r="B69" s="38"/>
      <c r="C69" s="29" t="s">
        <v>84</v>
      </c>
      <c r="D69" s="34" t="s">
        <v>85</v>
      </c>
      <c r="E69" s="54">
        <v>6.91</v>
      </c>
      <c r="F69" s="54">
        <v>5.44</v>
      </c>
      <c r="G69" s="35">
        <v>2024</v>
      </c>
    </row>
    <row r="70" spans="1:7" x14ac:dyDescent="0.3">
      <c r="A70" s="33"/>
      <c r="B70" s="38"/>
      <c r="C70" s="29" t="s">
        <v>84</v>
      </c>
      <c r="D70" s="34" t="s">
        <v>85</v>
      </c>
      <c r="E70" s="54">
        <v>8.9600000000000009</v>
      </c>
      <c r="F70" s="54">
        <v>8.98</v>
      </c>
      <c r="G70" s="35">
        <v>2024</v>
      </c>
    </row>
    <row r="71" spans="1:7" x14ac:dyDescent="0.3">
      <c r="A71" s="33"/>
      <c r="B71" s="38"/>
      <c r="C71" s="29" t="s">
        <v>84</v>
      </c>
      <c r="D71" s="34" t="s">
        <v>85</v>
      </c>
      <c r="E71" s="54">
        <v>6.09</v>
      </c>
      <c r="F71" s="54">
        <v>2.36</v>
      </c>
      <c r="G71" s="35">
        <v>2024</v>
      </c>
    </row>
    <row r="72" spans="1:7" x14ac:dyDescent="0.3">
      <c r="A72" s="37">
        <v>60</v>
      </c>
      <c r="B72" s="38" t="s">
        <v>258</v>
      </c>
      <c r="C72" s="39" t="s">
        <v>111</v>
      </c>
      <c r="D72" s="34" t="s">
        <v>186</v>
      </c>
      <c r="E72" s="53">
        <v>10.34</v>
      </c>
      <c r="F72" s="53">
        <v>3.36</v>
      </c>
      <c r="G72" s="51">
        <v>2025</v>
      </c>
    </row>
    <row r="73" spans="1:7" x14ac:dyDescent="0.3">
      <c r="A73" s="37">
        <v>61</v>
      </c>
      <c r="B73" s="38"/>
      <c r="C73" s="39" t="s">
        <v>183</v>
      </c>
      <c r="D73" s="34" t="s">
        <v>185</v>
      </c>
      <c r="E73" s="53">
        <v>6.05</v>
      </c>
      <c r="F73" s="53">
        <v>1.94</v>
      </c>
      <c r="G73" s="51">
        <v>2025</v>
      </c>
    </row>
    <row r="74" spans="1:7" x14ac:dyDescent="0.3">
      <c r="A74" s="37">
        <v>62</v>
      </c>
      <c r="B74" s="38"/>
      <c r="C74" s="39" t="s">
        <v>184</v>
      </c>
      <c r="D74" s="34" t="s">
        <v>187</v>
      </c>
      <c r="E74" s="53">
        <v>8.77</v>
      </c>
      <c r="F74" s="53">
        <v>4.9800000000000004</v>
      </c>
      <c r="G74" s="51">
        <v>2025</v>
      </c>
    </row>
    <row r="75" spans="1:7" x14ac:dyDescent="0.3">
      <c r="A75" s="31"/>
      <c r="B75" s="38" t="s">
        <v>259</v>
      </c>
      <c r="C75" s="29" t="s">
        <v>111</v>
      </c>
      <c r="D75" s="34" t="s">
        <v>112</v>
      </c>
      <c r="E75" s="56">
        <v>13.13</v>
      </c>
      <c r="F75" s="56">
        <v>3.23</v>
      </c>
      <c r="G75" s="35">
        <v>2024</v>
      </c>
    </row>
    <row r="76" spans="1:7" x14ac:dyDescent="0.3">
      <c r="A76" s="33"/>
      <c r="B76" s="33"/>
      <c r="C76" s="29" t="s">
        <v>113</v>
      </c>
      <c r="D76" s="34" t="s">
        <v>114</v>
      </c>
      <c r="E76" s="56">
        <v>11.84</v>
      </c>
      <c r="F76" s="56">
        <v>2.75</v>
      </c>
      <c r="G76" s="35">
        <v>2024</v>
      </c>
    </row>
    <row r="77" spans="1:7" x14ac:dyDescent="0.3">
      <c r="A77" s="48"/>
      <c r="B77" s="33"/>
      <c r="C77" s="29" t="s">
        <v>115</v>
      </c>
      <c r="D77" s="34" t="s">
        <v>116</v>
      </c>
      <c r="E77" s="56">
        <v>10.35</v>
      </c>
      <c r="F77" s="56">
        <v>3.55</v>
      </c>
      <c r="G77" s="35">
        <v>2024</v>
      </c>
    </row>
    <row r="78" spans="1:7" x14ac:dyDescent="0.3">
      <c r="A78" s="48"/>
      <c r="B78" s="33"/>
      <c r="C78" s="29" t="s">
        <v>117</v>
      </c>
      <c r="D78" s="34" t="s">
        <v>118</v>
      </c>
      <c r="E78" s="56">
        <v>11.62</v>
      </c>
      <c r="F78" s="56">
        <v>5.07</v>
      </c>
      <c r="G78" s="35">
        <v>2024</v>
      </c>
    </row>
    <row r="79" spans="1:7" x14ac:dyDescent="0.3">
      <c r="A79" s="37">
        <v>63</v>
      </c>
      <c r="B79" s="38" t="s">
        <v>260</v>
      </c>
      <c r="C79" s="47" t="s">
        <v>223</v>
      </c>
      <c r="D79" s="34"/>
      <c r="E79" s="57">
        <v>-15.2</v>
      </c>
      <c r="F79" s="57">
        <v>19.100000000000001</v>
      </c>
      <c r="G79" s="51">
        <v>2025</v>
      </c>
    </row>
    <row r="80" spans="1:7" x14ac:dyDescent="0.3">
      <c r="A80" s="37">
        <v>64</v>
      </c>
      <c r="B80" s="38"/>
      <c r="C80" s="47" t="s">
        <v>224</v>
      </c>
      <c r="D80" s="34"/>
      <c r="E80" s="25">
        <v>-7.9</v>
      </c>
      <c r="F80" s="25">
        <v>18.2</v>
      </c>
      <c r="G80" s="51">
        <v>2025</v>
      </c>
    </row>
    <row r="81" spans="1:8" x14ac:dyDescent="0.3">
      <c r="A81" s="37">
        <v>65</v>
      </c>
      <c r="B81" s="38"/>
      <c r="C81" s="47" t="s">
        <v>225</v>
      </c>
      <c r="D81" s="34"/>
      <c r="E81" s="25">
        <v>1</v>
      </c>
      <c r="F81" s="25">
        <v>16.600000000000001</v>
      </c>
      <c r="G81" s="51">
        <v>2025</v>
      </c>
    </row>
    <row r="82" spans="1:8" x14ac:dyDescent="0.3">
      <c r="A82" s="37">
        <v>66</v>
      </c>
      <c r="B82" s="33"/>
      <c r="C82" s="47" t="s">
        <v>226</v>
      </c>
      <c r="D82" s="34"/>
      <c r="E82" s="53">
        <v>8.4</v>
      </c>
      <c r="F82" s="53">
        <v>20.9</v>
      </c>
      <c r="G82" s="51">
        <v>2025</v>
      </c>
      <c r="H82" t="s">
        <v>264</v>
      </c>
    </row>
    <row r="83" spans="1:8" x14ac:dyDescent="0.3">
      <c r="A83" s="38"/>
      <c r="B83" s="38" t="s">
        <v>261</v>
      </c>
      <c r="C83" s="32" t="s">
        <v>244</v>
      </c>
      <c r="D83" s="30" t="s">
        <v>245</v>
      </c>
      <c r="E83" s="58">
        <v>-17.75</v>
      </c>
      <c r="F83" s="58">
        <v>13.45</v>
      </c>
      <c r="G83" s="35">
        <v>2024</v>
      </c>
    </row>
    <row r="84" spans="1:8" x14ac:dyDescent="0.3">
      <c r="A84" s="38"/>
      <c r="B84" s="31"/>
      <c r="C84" s="32" t="s">
        <v>224</v>
      </c>
      <c r="D84" s="30" t="s">
        <v>246</v>
      </c>
      <c r="E84" s="30">
        <v>0.54</v>
      </c>
      <c r="F84" s="30">
        <v>20.49</v>
      </c>
      <c r="G84" s="35">
        <v>2024</v>
      </c>
    </row>
    <row r="85" spans="1:8" x14ac:dyDescent="0.3">
      <c r="A85" s="38"/>
      <c r="B85" s="31"/>
      <c r="C85" s="32" t="s">
        <v>226</v>
      </c>
      <c r="D85" s="30" t="s">
        <v>247</v>
      </c>
      <c r="E85" s="54">
        <v>7.14</v>
      </c>
      <c r="F85" s="54">
        <v>16.78</v>
      </c>
      <c r="G85" s="35">
        <v>2024</v>
      </c>
    </row>
    <row r="86" spans="1:8" x14ac:dyDescent="0.3">
      <c r="A86" s="38"/>
      <c r="B86" s="31"/>
      <c r="C86" s="32" t="s">
        <v>265</v>
      </c>
      <c r="D86" s="30"/>
      <c r="E86" s="24">
        <v>-2.8436590653693261</v>
      </c>
      <c r="F86" s="24">
        <v>20.304265334571912</v>
      </c>
    </row>
    <row r="87" spans="1:8" x14ac:dyDescent="0.3">
      <c r="A87" s="33"/>
      <c r="B87" s="31" t="s">
        <v>254</v>
      </c>
      <c r="C87" s="32" t="s">
        <v>87</v>
      </c>
      <c r="D87" s="31" t="s">
        <v>88</v>
      </c>
      <c r="E87" s="24">
        <v>9.77</v>
      </c>
      <c r="F87" s="24">
        <v>-1.17</v>
      </c>
      <c r="G87" s="35">
        <v>2024</v>
      </c>
    </row>
    <row r="88" spans="1:8" x14ac:dyDescent="0.3">
      <c r="A88" s="33"/>
      <c r="B88" s="33"/>
      <c r="C88" s="32" t="s">
        <v>89</v>
      </c>
      <c r="D88" s="31" t="s">
        <v>88</v>
      </c>
      <c r="E88" s="24">
        <v>11.48</v>
      </c>
      <c r="F88" s="24">
        <v>0.36</v>
      </c>
      <c r="G88" s="35">
        <v>2024</v>
      </c>
    </row>
    <row r="89" spans="1:8" x14ac:dyDescent="0.3">
      <c r="A89" s="33"/>
      <c r="B89" s="33"/>
      <c r="C89" s="32" t="s">
        <v>90</v>
      </c>
      <c r="D89" s="31" t="s">
        <v>88</v>
      </c>
      <c r="E89" s="24">
        <v>9.83</v>
      </c>
      <c r="F89" s="24">
        <v>-1.54</v>
      </c>
      <c r="G89" s="35">
        <v>2024</v>
      </c>
    </row>
    <row r="90" spans="1:8" x14ac:dyDescent="0.3">
      <c r="A90" s="33"/>
      <c r="B90" s="33"/>
      <c r="C90" s="32" t="s">
        <v>91</v>
      </c>
      <c r="D90" s="31" t="s">
        <v>88</v>
      </c>
      <c r="E90" s="24">
        <v>8.1199999999999992</v>
      </c>
      <c r="F90" s="24">
        <v>-0.73</v>
      </c>
      <c r="G90" s="35">
        <v>2024</v>
      </c>
    </row>
    <row r="91" spans="1:8" x14ac:dyDescent="0.3">
      <c r="A91" s="33"/>
      <c r="B91" s="33"/>
      <c r="C91" s="32" t="s">
        <v>92</v>
      </c>
      <c r="D91" s="31" t="s">
        <v>88</v>
      </c>
      <c r="E91" s="24">
        <v>8.98</v>
      </c>
      <c r="F91" s="24">
        <v>-0.69</v>
      </c>
      <c r="G91" s="35">
        <v>2024</v>
      </c>
    </row>
    <row r="92" spans="1:8" x14ac:dyDescent="0.3">
      <c r="A92" s="33"/>
      <c r="B92" s="33"/>
      <c r="C92" s="32" t="s">
        <v>93</v>
      </c>
      <c r="D92" s="31" t="s">
        <v>88</v>
      </c>
      <c r="E92" s="24">
        <v>11.7</v>
      </c>
      <c r="F92" s="24">
        <v>0.36</v>
      </c>
      <c r="G92" s="35">
        <v>2024</v>
      </c>
    </row>
    <row r="93" spans="1:8" x14ac:dyDescent="0.3">
      <c r="A93" s="33"/>
      <c r="B93" s="33"/>
      <c r="C93" s="32" t="s">
        <v>94</v>
      </c>
      <c r="D93" s="31" t="s">
        <v>88</v>
      </c>
      <c r="E93" s="24">
        <v>12.29</v>
      </c>
      <c r="F93" s="24">
        <v>2.3199999999999998</v>
      </c>
      <c r="G93" s="35">
        <v>2024</v>
      </c>
    </row>
    <row r="94" spans="1:8" x14ac:dyDescent="0.3">
      <c r="A94" s="33"/>
      <c r="B94" s="33"/>
      <c r="C94" s="32" t="s">
        <v>95</v>
      </c>
      <c r="D94" s="31" t="s">
        <v>88</v>
      </c>
      <c r="E94" s="24">
        <v>12.98</v>
      </c>
      <c r="F94" s="24">
        <v>2.63</v>
      </c>
      <c r="G94" s="35">
        <v>2024</v>
      </c>
    </row>
    <row r="95" spans="1:8" x14ac:dyDescent="0.3">
      <c r="A95" s="33"/>
      <c r="B95" s="33"/>
      <c r="C95" s="32" t="s">
        <v>96</v>
      </c>
      <c r="D95" s="31" t="s">
        <v>88</v>
      </c>
      <c r="E95" s="24">
        <v>20.5</v>
      </c>
      <c r="F95" s="24">
        <v>5.45</v>
      </c>
      <c r="G95" s="35">
        <v>2024</v>
      </c>
    </row>
    <row r="96" spans="1:8" x14ac:dyDescent="0.3">
      <c r="A96" s="33"/>
      <c r="B96" s="33"/>
      <c r="C96" s="32" t="s">
        <v>97</v>
      </c>
      <c r="D96" s="31" t="s">
        <v>88</v>
      </c>
      <c r="E96" s="24">
        <v>10.89</v>
      </c>
      <c r="F96" s="24">
        <v>0.19</v>
      </c>
      <c r="G96" s="35">
        <v>2024</v>
      </c>
    </row>
    <row r="97" spans="1:7" x14ac:dyDescent="0.3">
      <c r="A97" s="33"/>
      <c r="B97" s="33"/>
      <c r="C97" s="32" t="s">
        <v>98</v>
      </c>
      <c r="D97" s="31" t="s">
        <v>88</v>
      </c>
      <c r="E97" s="24">
        <v>10.95</v>
      </c>
      <c r="F97" s="24">
        <v>-2.96</v>
      </c>
      <c r="G97" s="35">
        <v>2024</v>
      </c>
    </row>
    <row r="98" spans="1:7" x14ac:dyDescent="0.3">
      <c r="A98" s="33"/>
      <c r="B98" s="33"/>
      <c r="C98" s="29" t="s">
        <v>99</v>
      </c>
      <c r="D98" s="31" t="s">
        <v>100</v>
      </c>
      <c r="E98" s="24">
        <v>21.7</v>
      </c>
      <c r="F98" s="24">
        <v>4.57</v>
      </c>
      <c r="G98" s="35">
        <v>2024</v>
      </c>
    </row>
    <row r="99" spans="1:7" x14ac:dyDescent="0.3">
      <c r="A99" s="33"/>
      <c r="B99" s="33"/>
      <c r="C99" s="29" t="s">
        <v>101</v>
      </c>
      <c r="D99" s="31" t="s">
        <v>100</v>
      </c>
      <c r="E99" s="24">
        <v>20.47</v>
      </c>
      <c r="F99" s="24">
        <v>1.22</v>
      </c>
      <c r="G99" s="35">
        <v>2024</v>
      </c>
    </row>
    <row r="100" spans="1:7" x14ac:dyDescent="0.3">
      <c r="A100" s="33"/>
      <c r="B100" s="33"/>
      <c r="C100" s="29" t="s">
        <v>102</v>
      </c>
      <c r="D100" s="34" t="s">
        <v>103</v>
      </c>
      <c r="E100" s="24">
        <v>13.38</v>
      </c>
      <c r="F100" s="24">
        <v>4.66</v>
      </c>
      <c r="G100" s="35">
        <v>2024</v>
      </c>
    </row>
    <row r="101" spans="1:7" x14ac:dyDescent="0.3">
      <c r="A101" s="33"/>
      <c r="B101" s="33"/>
      <c r="C101" s="29" t="s">
        <v>104</v>
      </c>
      <c r="D101" s="34" t="s">
        <v>105</v>
      </c>
      <c r="E101" s="56">
        <v>2.16</v>
      </c>
      <c r="F101" s="56">
        <v>-3.58</v>
      </c>
      <c r="G101" s="35">
        <v>2024</v>
      </c>
    </row>
    <row r="102" spans="1:7" x14ac:dyDescent="0.3">
      <c r="A102" s="31"/>
      <c r="B102" s="33"/>
      <c r="C102" s="29" t="s">
        <v>106</v>
      </c>
      <c r="D102" s="34" t="s">
        <v>105</v>
      </c>
      <c r="E102" s="24">
        <v>20.62</v>
      </c>
      <c r="F102" s="24">
        <v>0.06</v>
      </c>
      <c r="G102" s="35">
        <v>2024</v>
      </c>
    </row>
    <row r="103" spans="1:7" x14ac:dyDescent="0.3">
      <c r="A103" s="33"/>
      <c r="B103" s="33"/>
      <c r="C103" s="29" t="s">
        <v>107</v>
      </c>
      <c r="D103" s="34" t="s">
        <v>105</v>
      </c>
      <c r="E103" s="24">
        <v>12.28</v>
      </c>
      <c r="F103" s="24">
        <v>-1.7</v>
      </c>
      <c r="G103" s="35">
        <v>2024</v>
      </c>
    </row>
    <row r="104" spans="1:7" x14ac:dyDescent="0.3">
      <c r="A104" s="33"/>
      <c r="B104" s="33"/>
      <c r="C104" s="29" t="s">
        <v>108</v>
      </c>
      <c r="D104" s="34" t="s">
        <v>105</v>
      </c>
      <c r="E104" s="24">
        <v>18.02</v>
      </c>
      <c r="F104" s="24">
        <v>0.77</v>
      </c>
      <c r="G104" s="35">
        <v>2024</v>
      </c>
    </row>
    <row r="105" spans="1:7" x14ac:dyDescent="0.3">
      <c r="A105" s="33"/>
      <c r="B105" s="33"/>
      <c r="C105" s="29" t="s">
        <v>109</v>
      </c>
      <c r="D105" s="34" t="s">
        <v>105</v>
      </c>
      <c r="E105" s="24">
        <v>23.7</v>
      </c>
      <c r="F105" s="24">
        <v>6.6</v>
      </c>
      <c r="G105" s="35">
        <v>2024</v>
      </c>
    </row>
    <row r="106" spans="1:7" x14ac:dyDescent="0.3">
      <c r="A106" s="37">
        <v>55</v>
      </c>
      <c r="B106" s="31" t="s">
        <v>255</v>
      </c>
      <c r="C106" s="39" t="s">
        <v>201</v>
      </c>
      <c r="D106" s="34" t="s">
        <v>172</v>
      </c>
      <c r="E106" s="25">
        <v>11.37</v>
      </c>
      <c r="F106" s="25">
        <v>1.92</v>
      </c>
      <c r="G106" s="51">
        <v>2025</v>
      </c>
    </row>
    <row r="107" spans="1:7" x14ac:dyDescent="0.3">
      <c r="A107" s="37">
        <v>56</v>
      </c>
      <c r="B107" s="38"/>
      <c r="C107" s="39" t="s">
        <v>176</v>
      </c>
      <c r="D107" s="34" t="s">
        <v>172</v>
      </c>
      <c r="E107" s="25">
        <v>11.83</v>
      </c>
      <c r="F107" s="25">
        <v>0.92</v>
      </c>
      <c r="G107" s="51">
        <v>2025</v>
      </c>
    </row>
    <row r="108" spans="1:7" x14ac:dyDescent="0.3">
      <c r="A108" s="37">
        <v>58</v>
      </c>
      <c r="B108" s="38"/>
      <c r="C108" s="39" t="s">
        <v>175</v>
      </c>
      <c r="D108" s="34" t="s">
        <v>174</v>
      </c>
      <c r="E108" s="53">
        <v>2.12</v>
      </c>
      <c r="F108" s="53">
        <v>7.97</v>
      </c>
      <c r="G108" s="51">
        <v>2025</v>
      </c>
    </row>
    <row r="109" spans="1:7" x14ac:dyDescent="0.3">
      <c r="A109" s="37">
        <v>59</v>
      </c>
      <c r="B109" s="38"/>
      <c r="C109" s="39" t="s">
        <v>176</v>
      </c>
      <c r="D109" s="34" t="s">
        <v>172</v>
      </c>
      <c r="E109" s="25">
        <v>11.83</v>
      </c>
      <c r="F109" s="25">
        <v>0.92</v>
      </c>
      <c r="G109" s="51">
        <v>2025</v>
      </c>
    </row>
    <row r="110" spans="1:7" x14ac:dyDescent="0.3">
      <c r="A110" s="48"/>
      <c r="B110" s="31" t="s">
        <v>262</v>
      </c>
      <c r="C110" s="29" t="s">
        <v>249</v>
      </c>
      <c r="D110" s="34" t="s">
        <v>249</v>
      </c>
      <c r="E110" s="24">
        <v>-0.28024448861513651</v>
      </c>
      <c r="F110" s="24">
        <v>47.367869763227127</v>
      </c>
      <c r="G110" s="35">
        <v>2024</v>
      </c>
    </row>
    <row r="111" spans="1:7" x14ac:dyDescent="0.3">
      <c r="A111" s="37">
        <v>67</v>
      </c>
      <c r="B111" s="31" t="s">
        <v>263</v>
      </c>
      <c r="C111" s="29" t="s">
        <v>230</v>
      </c>
      <c r="D111" s="34"/>
      <c r="E111" s="25">
        <v>1.75</v>
      </c>
      <c r="F111" s="25">
        <v>45.94</v>
      </c>
      <c r="G111" s="51">
        <v>2025</v>
      </c>
    </row>
    <row r="112" spans="1:7" x14ac:dyDescent="0.3">
      <c r="A112" s="37">
        <v>68</v>
      </c>
      <c r="B112" s="33"/>
      <c r="C112" s="29" t="s">
        <v>231</v>
      </c>
      <c r="D112" s="34"/>
      <c r="E112" s="43">
        <v>0.13</v>
      </c>
      <c r="F112" s="43">
        <v>51.47</v>
      </c>
      <c r="G112" s="51">
        <v>2025</v>
      </c>
    </row>
    <row r="113" spans="1:7" x14ac:dyDescent="0.3">
      <c r="E113" s="35"/>
      <c r="F113" s="35"/>
    </row>
    <row r="114" spans="1:7" x14ac:dyDescent="0.3">
      <c r="A114" s="48"/>
      <c r="B114" s="31" t="s">
        <v>119</v>
      </c>
      <c r="C114" s="32" t="s">
        <v>120</v>
      </c>
      <c r="D114" s="31" t="s">
        <v>121</v>
      </c>
      <c r="E114" s="54">
        <v>17.66</v>
      </c>
      <c r="F114" s="54">
        <v>10.89</v>
      </c>
      <c r="G114" s="35">
        <v>2024</v>
      </c>
    </row>
    <row r="115" spans="1:7" x14ac:dyDescent="0.3">
      <c r="A115" s="48"/>
      <c r="B115" s="33"/>
      <c r="C115" s="33"/>
      <c r="D115" s="30"/>
      <c r="E115" s="54">
        <v>18.170000000000002</v>
      </c>
      <c r="F115" s="54">
        <v>9.27</v>
      </c>
      <c r="G115" s="35">
        <v>2024</v>
      </c>
    </row>
  </sheetData>
  <phoneticPr fontId="2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3"/>
  <sheetViews>
    <sheetView zoomScale="90" zoomScaleNormal="90" workbookViewId="0">
      <pane ySplit="1" topLeftCell="A2" activePane="bottomLeft" state="frozen"/>
      <selection pane="bottomLeft" activeCell="N29" sqref="N29"/>
    </sheetView>
  </sheetViews>
  <sheetFormatPr defaultRowHeight="16.5" x14ac:dyDescent="0.3"/>
  <cols>
    <col min="2" max="2" width="11.375" style="36" customWidth="1"/>
    <col min="3" max="3" width="14.25" style="36" customWidth="1"/>
    <col min="4" max="4" width="19.25" customWidth="1"/>
    <col min="8" max="9" width="11.125" style="44" customWidth="1"/>
    <col min="10" max="10" width="25.875" style="35" customWidth="1"/>
    <col min="11" max="11" width="9" style="35"/>
  </cols>
  <sheetData>
    <row r="1" spans="1:10" x14ac:dyDescent="0.3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0" t="s">
        <v>7</v>
      </c>
      <c r="I1" s="40" t="s">
        <v>8</v>
      </c>
      <c r="J1" s="6" t="s">
        <v>9</v>
      </c>
    </row>
    <row r="2" spans="1:10" x14ac:dyDescent="0.3">
      <c r="A2" s="7">
        <v>1</v>
      </c>
      <c r="B2" s="8" t="s">
        <v>10</v>
      </c>
      <c r="C2" s="9" t="s">
        <v>11</v>
      </c>
      <c r="D2" s="10" t="s">
        <v>149</v>
      </c>
      <c r="E2" s="11">
        <v>5.4515181000000004</v>
      </c>
      <c r="F2" s="11">
        <v>5.6856187000000002E-2</v>
      </c>
      <c r="G2" s="11">
        <v>0.41214858999999998</v>
      </c>
      <c r="H2" s="41"/>
      <c r="I2" s="41"/>
      <c r="J2" s="13" t="s">
        <v>13</v>
      </c>
    </row>
    <row r="3" spans="1:10" x14ac:dyDescent="0.3">
      <c r="A3" s="7">
        <v>2</v>
      </c>
      <c r="B3" s="8"/>
      <c r="C3" s="9" t="s">
        <v>14</v>
      </c>
      <c r="D3" s="10" t="s">
        <v>147</v>
      </c>
      <c r="E3" s="11">
        <v>2.0678201</v>
      </c>
      <c r="F3" s="11">
        <v>0.68627450999999995</v>
      </c>
      <c r="G3" s="11">
        <v>0.56725146000000004</v>
      </c>
      <c r="H3" s="41"/>
      <c r="I3" s="41"/>
      <c r="J3" s="13" t="s">
        <v>13</v>
      </c>
    </row>
    <row r="4" spans="1:10" x14ac:dyDescent="0.3">
      <c r="A4" s="7">
        <v>3</v>
      </c>
      <c r="B4" s="8"/>
      <c r="C4" s="9" t="s">
        <v>15</v>
      </c>
      <c r="D4" s="10" t="s">
        <v>148</v>
      </c>
      <c r="E4" s="11">
        <v>4.9256336000000003</v>
      </c>
      <c r="F4" s="11">
        <v>5.0903120000000003E-2</v>
      </c>
      <c r="G4" s="11">
        <v>0.65042889999999998</v>
      </c>
      <c r="H4" s="41"/>
      <c r="I4" s="41"/>
      <c r="J4" s="13" t="s">
        <v>13</v>
      </c>
    </row>
    <row r="5" spans="1:10" x14ac:dyDescent="0.3">
      <c r="A5" s="7">
        <v>4</v>
      </c>
      <c r="B5" s="8" t="s">
        <v>16</v>
      </c>
      <c r="C5" s="9" t="s">
        <v>17</v>
      </c>
      <c r="D5" s="10" t="s">
        <v>179</v>
      </c>
      <c r="E5" s="11">
        <v>14.799187</v>
      </c>
      <c r="F5" s="11">
        <v>9.8453283000000003E-2</v>
      </c>
      <c r="G5" s="11">
        <v>1.2069160000000001</v>
      </c>
      <c r="H5" s="41"/>
      <c r="I5" s="41"/>
      <c r="J5" s="13"/>
    </row>
    <row r="6" spans="1:10" x14ac:dyDescent="0.3">
      <c r="A6" s="7">
        <v>9</v>
      </c>
      <c r="B6" s="8" t="s">
        <v>25</v>
      </c>
      <c r="C6" s="9" t="s">
        <v>19</v>
      </c>
      <c r="D6" s="10" t="s">
        <v>144</v>
      </c>
      <c r="E6" s="11">
        <v>2.9537789999999999</v>
      </c>
      <c r="F6" s="11">
        <v>0.76075904000000005</v>
      </c>
      <c r="G6" s="11">
        <v>1.2585497000000001</v>
      </c>
      <c r="H6" s="41"/>
      <c r="I6" s="41"/>
      <c r="J6" s="13" t="s">
        <v>197</v>
      </c>
    </row>
    <row r="7" spans="1:10" x14ac:dyDescent="0.3">
      <c r="A7" s="7">
        <v>10</v>
      </c>
      <c r="B7" s="8"/>
      <c r="C7" s="9" t="s">
        <v>21</v>
      </c>
      <c r="D7" s="10" t="s">
        <v>143</v>
      </c>
      <c r="E7" s="11">
        <v>10.676766000000001</v>
      </c>
      <c r="F7" s="11">
        <v>0.54505380000000003</v>
      </c>
      <c r="G7" s="11">
        <v>1.1585510000000001</v>
      </c>
      <c r="H7" s="41"/>
      <c r="I7" s="41"/>
      <c r="J7" s="13" t="s">
        <v>198</v>
      </c>
    </row>
    <row r="8" spans="1:10" x14ac:dyDescent="0.3">
      <c r="A8" s="7">
        <v>11</v>
      </c>
      <c r="B8" s="8"/>
      <c r="C8" s="9" t="s">
        <v>23</v>
      </c>
      <c r="D8" s="10" t="s">
        <v>145</v>
      </c>
      <c r="E8" s="11">
        <v>3.8646913000000001</v>
      </c>
      <c r="F8" s="11">
        <v>0.47782972000000001</v>
      </c>
      <c r="G8" s="11">
        <v>1.0877029</v>
      </c>
      <c r="H8" s="41"/>
      <c r="I8" s="41"/>
      <c r="J8" s="13" t="s">
        <v>197</v>
      </c>
    </row>
    <row r="9" spans="1:10" x14ac:dyDescent="0.3">
      <c r="A9" s="37">
        <v>13</v>
      </c>
      <c r="B9" s="38"/>
      <c r="C9" s="9" t="s">
        <v>26</v>
      </c>
      <c r="D9" s="34" t="s">
        <v>146</v>
      </c>
      <c r="E9" s="11">
        <v>3.7434799000000001</v>
      </c>
      <c r="F9" s="11">
        <v>0.73527803000000003</v>
      </c>
      <c r="G9" s="11">
        <v>1.0939308000000001</v>
      </c>
      <c r="H9" s="41"/>
      <c r="I9" s="41"/>
      <c r="J9" s="13" t="s">
        <v>199</v>
      </c>
    </row>
    <row r="10" spans="1:10" x14ac:dyDescent="0.3">
      <c r="A10" s="37">
        <v>16</v>
      </c>
      <c r="B10" s="38" t="s">
        <v>40</v>
      </c>
      <c r="C10" s="29" t="s">
        <v>122</v>
      </c>
      <c r="D10" s="34" t="s">
        <v>229</v>
      </c>
      <c r="E10" s="11">
        <v>63.734005000000003</v>
      </c>
      <c r="F10" s="11">
        <v>0.35724412</v>
      </c>
      <c r="G10" s="11">
        <v>1.0194175999999999</v>
      </c>
      <c r="H10" s="41">
        <v>13.4</v>
      </c>
      <c r="I10" s="41">
        <v>24.37</v>
      </c>
      <c r="J10" s="13" t="s">
        <v>200</v>
      </c>
    </row>
    <row r="11" spans="1:10" x14ac:dyDescent="0.3">
      <c r="A11" s="37">
        <v>17</v>
      </c>
      <c r="B11" s="38"/>
      <c r="C11" s="29" t="s">
        <v>41</v>
      </c>
      <c r="D11" s="34" t="s">
        <v>229</v>
      </c>
      <c r="E11" s="11">
        <v>79.314628999999996</v>
      </c>
      <c r="F11" s="11">
        <v>0.34919582999999998</v>
      </c>
      <c r="G11" s="11">
        <v>1.1583357000000001</v>
      </c>
      <c r="H11" s="41">
        <v>15.93</v>
      </c>
      <c r="I11" s="41">
        <v>15.78</v>
      </c>
      <c r="J11" s="13" t="s">
        <v>200</v>
      </c>
    </row>
    <row r="12" spans="1:10" x14ac:dyDescent="0.3">
      <c r="A12" s="37">
        <v>18</v>
      </c>
      <c r="B12" s="38"/>
      <c r="C12" s="29" t="s">
        <v>43</v>
      </c>
      <c r="D12" s="34" t="s">
        <v>229</v>
      </c>
      <c r="E12" s="11">
        <v>56.9377</v>
      </c>
      <c r="F12" s="11">
        <v>0.38877618000000003</v>
      </c>
      <c r="G12" s="11">
        <v>1.0643672</v>
      </c>
      <c r="H12" s="41">
        <v>18.760000000000002</v>
      </c>
      <c r="I12" s="41">
        <v>3.97</v>
      </c>
      <c r="J12" s="13" t="s">
        <v>200</v>
      </c>
    </row>
    <row r="13" spans="1:10" x14ac:dyDescent="0.3">
      <c r="A13" s="37">
        <v>19</v>
      </c>
      <c r="B13" s="38"/>
      <c r="C13" s="29" t="s">
        <v>45</v>
      </c>
      <c r="D13" s="34" t="s">
        <v>229</v>
      </c>
      <c r="E13" s="11">
        <v>13.699883</v>
      </c>
      <c r="F13" s="11">
        <v>0.2264272</v>
      </c>
      <c r="G13" s="11">
        <v>0.67291367999999996</v>
      </c>
      <c r="H13" s="41">
        <v>15.11</v>
      </c>
      <c r="I13" s="41">
        <v>9.7200000000000006</v>
      </c>
      <c r="J13" s="13" t="s">
        <v>200</v>
      </c>
    </row>
    <row r="14" spans="1:10" x14ac:dyDescent="0.3">
      <c r="A14" s="37">
        <v>20</v>
      </c>
      <c r="B14" s="38"/>
      <c r="C14" s="29" t="s">
        <v>46</v>
      </c>
      <c r="D14" s="34" t="s">
        <v>228</v>
      </c>
      <c r="E14" s="24">
        <v>48.711221999999999</v>
      </c>
      <c r="F14" s="24">
        <v>0.25561518999999999</v>
      </c>
      <c r="G14" s="24">
        <v>0.82384173000000005</v>
      </c>
      <c r="H14" s="25">
        <v>19.260000000000002</v>
      </c>
      <c r="I14" s="25">
        <v>3</v>
      </c>
      <c r="J14" s="13" t="s">
        <v>200</v>
      </c>
    </row>
    <row r="15" spans="1:10" x14ac:dyDescent="0.3">
      <c r="A15" s="37">
        <v>21</v>
      </c>
      <c r="B15" s="38" t="s">
        <v>180</v>
      </c>
      <c r="C15" s="39" t="s">
        <v>123</v>
      </c>
      <c r="D15" s="34" t="s">
        <v>151</v>
      </c>
      <c r="E15" s="24">
        <v>5.6331854999999997</v>
      </c>
      <c r="F15" s="24">
        <v>0.52457611999999998</v>
      </c>
      <c r="G15" s="24">
        <v>1.1389050000000001</v>
      </c>
      <c r="H15" s="30">
        <v>8.07</v>
      </c>
      <c r="I15" s="30">
        <v>5.95</v>
      </c>
      <c r="J15" s="13" t="s">
        <v>50</v>
      </c>
    </row>
    <row r="16" spans="1:10" x14ac:dyDescent="0.3">
      <c r="A16" s="37">
        <v>22</v>
      </c>
      <c r="B16" s="38"/>
      <c r="C16" s="39" t="s">
        <v>124</v>
      </c>
      <c r="D16" s="34" t="s">
        <v>151</v>
      </c>
      <c r="E16" s="24">
        <v>1.6164504</v>
      </c>
      <c r="F16" s="24">
        <v>0.81727892000000002</v>
      </c>
      <c r="G16" s="24">
        <v>1.4675128</v>
      </c>
      <c r="H16" s="30">
        <v>11.58</v>
      </c>
      <c r="I16" s="30">
        <v>25.48</v>
      </c>
      <c r="J16" s="13" t="s">
        <v>50</v>
      </c>
    </row>
    <row r="17" spans="1:11" x14ac:dyDescent="0.3">
      <c r="A17" s="37">
        <v>23</v>
      </c>
      <c r="B17" s="38"/>
      <c r="C17" s="39" t="s">
        <v>125</v>
      </c>
      <c r="D17" s="34" t="s">
        <v>150</v>
      </c>
      <c r="E17" s="24">
        <v>12.970205</v>
      </c>
      <c r="F17" s="24">
        <v>0.61353095000000002</v>
      </c>
      <c r="G17" s="24">
        <v>1.1658522</v>
      </c>
      <c r="H17" s="30">
        <v>20.350000000000001</v>
      </c>
      <c r="I17" s="30">
        <v>-4.0199999999999996</v>
      </c>
      <c r="J17" s="13" t="s">
        <v>50</v>
      </c>
      <c r="K17" s="35" t="s">
        <v>227</v>
      </c>
    </row>
    <row r="18" spans="1:11" x14ac:dyDescent="0.3">
      <c r="A18" s="37">
        <v>24</v>
      </c>
      <c r="B18" s="38"/>
      <c r="C18" s="39" t="s">
        <v>126</v>
      </c>
      <c r="D18" s="34" t="s">
        <v>152</v>
      </c>
      <c r="E18" s="24">
        <v>10.176845999999999</v>
      </c>
      <c r="F18" s="24">
        <v>0.65758879000000003</v>
      </c>
      <c r="G18" s="24">
        <v>1.2896307</v>
      </c>
      <c r="H18" s="30">
        <v>7.09</v>
      </c>
      <c r="I18" s="30">
        <v>2.76</v>
      </c>
      <c r="J18" s="13" t="s">
        <v>50</v>
      </c>
      <c r="K18" s="35" t="s">
        <v>227</v>
      </c>
    </row>
    <row r="19" spans="1:11" x14ac:dyDescent="0.3">
      <c r="A19" s="37">
        <v>25</v>
      </c>
      <c r="B19" s="38"/>
      <c r="C19" s="39" t="s">
        <v>127</v>
      </c>
      <c r="D19" s="34" t="s">
        <v>153</v>
      </c>
      <c r="E19" s="24">
        <v>4.8600218000000002</v>
      </c>
      <c r="F19" s="24">
        <v>0.58170237000000002</v>
      </c>
      <c r="G19" s="24">
        <v>1.2419627</v>
      </c>
      <c r="H19" s="30">
        <v>0.17</v>
      </c>
      <c r="I19" s="30">
        <v>4.79</v>
      </c>
      <c r="J19" s="13" t="s">
        <v>50</v>
      </c>
    </row>
    <row r="20" spans="1:11" x14ac:dyDescent="0.3">
      <c r="A20" s="37">
        <v>26</v>
      </c>
      <c r="B20" s="38"/>
      <c r="C20" s="39" t="s">
        <v>128</v>
      </c>
      <c r="D20" s="34" t="s">
        <v>150</v>
      </c>
      <c r="E20" s="24">
        <v>14.068768</v>
      </c>
      <c r="F20" s="24">
        <v>0.58404855</v>
      </c>
      <c r="G20" s="24">
        <v>1.2383124999999999</v>
      </c>
      <c r="H20" s="30">
        <v>11.45</v>
      </c>
      <c r="I20" s="30">
        <v>-2.44</v>
      </c>
      <c r="J20" s="13" t="s">
        <v>50</v>
      </c>
    </row>
    <row r="21" spans="1:11" x14ac:dyDescent="0.3">
      <c r="A21" s="37">
        <v>27</v>
      </c>
      <c r="B21" s="38"/>
      <c r="C21" s="39" t="s">
        <v>140</v>
      </c>
      <c r="D21" s="34" t="s">
        <v>150</v>
      </c>
      <c r="E21" s="24">
        <v>8.6286001999999993</v>
      </c>
      <c r="F21" s="24">
        <v>0.52470391999999999</v>
      </c>
      <c r="G21" s="24">
        <v>1.1680168</v>
      </c>
      <c r="H21" s="30">
        <v>8.6199999999999992</v>
      </c>
      <c r="I21" s="30">
        <v>1.91</v>
      </c>
      <c r="J21" s="13" t="s">
        <v>50</v>
      </c>
    </row>
    <row r="22" spans="1:11" x14ac:dyDescent="0.3">
      <c r="A22" s="37">
        <v>28</v>
      </c>
      <c r="B22" s="38"/>
      <c r="C22" s="39" t="s">
        <v>129</v>
      </c>
      <c r="D22" s="34" t="s">
        <v>152</v>
      </c>
      <c r="E22" s="24">
        <v>11.978322</v>
      </c>
      <c r="F22" s="24">
        <v>0.54793464000000003</v>
      </c>
      <c r="G22" s="24">
        <v>1.2595050000000001</v>
      </c>
      <c r="H22" s="30">
        <v>5.65</v>
      </c>
      <c r="I22" s="30">
        <v>-0.27</v>
      </c>
      <c r="J22" s="13" t="s">
        <v>50</v>
      </c>
    </row>
    <row r="23" spans="1:11" x14ac:dyDescent="0.3">
      <c r="A23" s="37">
        <v>29</v>
      </c>
      <c r="B23" s="38"/>
      <c r="C23" s="39" t="s">
        <v>130</v>
      </c>
      <c r="D23" s="34" t="s">
        <v>153</v>
      </c>
      <c r="E23" s="24">
        <v>8.9892093000000006</v>
      </c>
      <c r="F23" s="24">
        <v>0.49994714000000001</v>
      </c>
      <c r="G23" s="24">
        <v>1.1141143</v>
      </c>
      <c r="H23" s="30">
        <v>1.77</v>
      </c>
      <c r="I23" s="30">
        <v>-0.12</v>
      </c>
      <c r="J23" s="13" t="s">
        <v>50</v>
      </c>
    </row>
    <row r="24" spans="1:11" x14ac:dyDescent="0.3">
      <c r="A24" s="37">
        <v>30</v>
      </c>
      <c r="B24" s="38"/>
      <c r="C24" s="39" t="s">
        <v>131</v>
      </c>
      <c r="D24" s="34" t="s">
        <v>150</v>
      </c>
      <c r="E24" s="24">
        <v>5.4262975000000004</v>
      </c>
      <c r="F24" s="24">
        <v>0.63941674999999998</v>
      </c>
      <c r="G24" s="24">
        <v>1.2906054</v>
      </c>
      <c r="H24" s="30">
        <v>10.31</v>
      </c>
      <c r="I24" s="30">
        <v>3.08</v>
      </c>
      <c r="J24" s="13" t="s">
        <v>50</v>
      </c>
    </row>
    <row r="25" spans="1:11" x14ac:dyDescent="0.3">
      <c r="A25" s="37">
        <v>31</v>
      </c>
      <c r="B25" s="38"/>
      <c r="C25" s="39" t="s">
        <v>132</v>
      </c>
      <c r="D25" s="34" t="s">
        <v>150</v>
      </c>
      <c r="E25" s="24">
        <v>6.9184364</v>
      </c>
      <c r="F25" s="24">
        <v>0.52299496999999995</v>
      </c>
      <c r="G25" s="24">
        <v>1.1679872</v>
      </c>
      <c r="H25" s="30">
        <v>1.67</v>
      </c>
      <c r="I25" s="30">
        <v>-1.53</v>
      </c>
      <c r="J25" s="13" t="s">
        <v>50</v>
      </c>
    </row>
    <row r="26" spans="1:11" x14ac:dyDescent="0.3">
      <c r="A26" s="37">
        <v>32</v>
      </c>
      <c r="B26" s="38"/>
      <c r="C26" s="39" t="s">
        <v>133</v>
      </c>
      <c r="D26" s="34" t="s">
        <v>154</v>
      </c>
      <c r="E26" s="24">
        <v>4.8623301000000003</v>
      </c>
      <c r="F26" s="24">
        <v>0.53973015999999996</v>
      </c>
      <c r="G26" s="24">
        <v>1.2110197</v>
      </c>
      <c r="H26" s="30">
        <v>-1.17</v>
      </c>
      <c r="I26" s="30">
        <v>6.46</v>
      </c>
      <c r="J26" s="13" t="s">
        <v>50</v>
      </c>
    </row>
    <row r="27" spans="1:11" x14ac:dyDescent="0.3">
      <c r="A27" s="37">
        <v>33</v>
      </c>
      <c r="B27" s="38"/>
      <c r="C27" s="39" t="s">
        <v>141</v>
      </c>
      <c r="D27" s="34" t="s">
        <v>150</v>
      </c>
      <c r="E27" s="24">
        <v>6.2907875000000004</v>
      </c>
      <c r="F27" s="24">
        <v>0.57185202000000002</v>
      </c>
      <c r="G27" s="24">
        <v>1.1939017999999999</v>
      </c>
      <c r="H27" s="30">
        <v>5.82</v>
      </c>
      <c r="I27" s="30">
        <v>-2.3199999999999998</v>
      </c>
      <c r="J27" s="13" t="s">
        <v>50</v>
      </c>
    </row>
    <row r="28" spans="1:11" x14ac:dyDescent="0.3">
      <c r="A28" s="37">
        <v>34</v>
      </c>
      <c r="B28" s="38"/>
      <c r="C28" s="39" t="s">
        <v>134</v>
      </c>
      <c r="D28" s="34" t="s">
        <v>151</v>
      </c>
      <c r="E28" s="24">
        <v>3.0154659000000001</v>
      </c>
      <c r="F28" s="24">
        <v>0.59341719999999998</v>
      </c>
      <c r="G28" s="24">
        <v>1.2703684</v>
      </c>
      <c r="H28" s="30">
        <v>-7.66</v>
      </c>
      <c r="I28" s="30">
        <v>8.66</v>
      </c>
      <c r="J28" s="13" t="s">
        <v>50</v>
      </c>
    </row>
    <row r="29" spans="1:11" x14ac:dyDescent="0.3">
      <c r="A29" s="37">
        <v>35</v>
      </c>
      <c r="B29" s="38"/>
      <c r="C29" s="39" t="s">
        <v>142</v>
      </c>
      <c r="D29" s="34" t="s">
        <v>151</v>
      </c>
      <c r="E29" s="24">
        <v>1.1038642999999999</v>
      </c>
      <c r="F29" s="24">
        <v>1.0334368</v>
      </c>
      <c r="G29" s="24">
        <v>1.6121589000000001</v>
      </c>
      <c r="H29" s="30">
        <v>0.76</v>
      </c>
      <c r="I29" s="30">
        <v>10.93</v>
      </c>
      <c r="J29" s="13" t="s">
        <v>50</v>
      </c>
    </row>
    <row r="30" spans="1:11" x14ac:dyDescent="0.3">
      <c r="A30" s="37">
        <v>36</v>
      </c>
      <c r="B30" s="38"/>
      <c r="C30" s="39" t="s">
        <v>135</v>
      </c>
      <c r="D30" s="34" t="s">
        <v>158</v>
      </c>
      <c r="E30" s="24">
        <v>2.9362929000000002</v>
      </c>
      <c r="F30" s="24">
        <v>0.66716489999999995</v>
      </c>
      <c r="G30" s="24">
        <v>1.3474322000000001</v>
      </c>
      <c r="H30" s="30">
        <v>3.07</v>
      </c>
      <c r="I30" s="30">
        <v>10.94</v>
      </c>
      <c r="J30" s="13" t="s">
        <v>50</v>
      </c>
    </row>
    <row r="31" spans="1:11" x14ac:dyDescent="0.3">
      <c r="A31" s="37">
        <v>37</v>
      </c>
      <c r="B31" s="38"/>
      <c r="C31" s="39" t="s">
        <v>136</v>
      </c>
      <c r="D31" s="34" t="s">
        <v>153</v>
      </c>
      <c r="E31" s="24">
        <v>4.6613832000000004</v>
      </c>
      <c r="F31" s="24">
        <v>0.48866626000000002</v>
      </c>
      <c r="G31" s="24">
        <v>1.1404590999999999</v>
      </c>
      <c r="H31" s="30">
        <v>1.44</v>
      </c>
      <c r="I31" s="30">
        <v>6.68</v>
      </c>
      <c r="J31" s="13" t="s">
        <v>50</v>
      </c>
    </row>
    <row r="32" spans="1:11" x14ac:dyDescent="0.3">
      <c r="A32" s="37">
        <v>38</v>
      </c>
      <c r="B32" s="38"/>
      <c r="C32" s="39" t="s">
        <v>137</v>
      </c>
      <c r="D32" s="34" t="s">
        <v>155</v>
      </c>
      <c r="E32" s="24">
        <v>11.536314000000001</v>
      </c>
      <c r="F32" s="24">
        <v>0.55226823000000003</v>
      </c>
      <c r="G32" s="24">
        <v>1.2074729</v>
      </c>
      <c r="H32" s="30">
        <v>-0.97</v>
      </c>
      <c r="I32" s="30">
        <v>4.4400000000000004</v>
      </c>
      <c r="J32" s="13" t="s">
        <v>50</v>
      </c>
      <c r="K32" s="35" t="s">
        <v>227</v>
      </c>
    </row>
    <row r="33" spans="1:13" x14ac:dyDescent="0.3">
      <c r="A33" s="37">
        <v>39</v>
      </c>
      <c r="B33" s="38"/>
      <c r="C33" s="39" t="s">
        <v>138</v>
      </c>
      <c r="D33" s="34" t="s">
        <v>154</v>
      </c>
      <c r="E33" s="24">
        <v>3.6365299000000002</v>
      </c>
      <c r="F33" s="24">
        <v>0.43838036000000002</v>
      </c>
      <c r="G33" s="24">
        <v>1.1205012999999999</v>
      </c>
      <c r="H33" s="30">
        <v>5.15</v>
      </c>
      <c r="I33" s="30">
        <v>1.73</v>
      </c>
      <c r="J33" s="13" t="s">
        <v>50</v>
      </c>
    </row>
    <row r="34" spans="1:13" x14ac:dyDescent="0.3">
      <c r="A34" s="37">
        <v>40</v>
      </c>
      <c r="B34" s="38"/>
      <c r="C34" s="39" t="s">
        <v>139</v>
      </c>
      <c r="D34" s="34" t="s">
        <v>152</v>
      </c>
      <c r="E34" s="24">
        <v>14.028375</v>
      </c>
      <c r="F34" s="24">
        <v>0.50746172000000001</v>
      </c>
      <c r="G34" s="24">
        <v>1.1938092</v>
      </c>
      <c r="H34" s="30">
        <v>9.17</v>
      </c>
      <c r="I34" s="30">
        <v>6.08</v>
      </c>
      <c r="J34" s="13" t="s">
        <v>50</v>
      </c>
    </row>
    <row r="35" spans="1:13" x14ac:dyDescent="0.3">
      <c r="A35" s="37">
        <v>41</v>
      </c>
      <c r="B35" s="38"/>
      <c r="C35" s="39" t="s">
        <v>156</v>
      </c>
      <c r="D35" s="34" t="s">
        <v>152</v>
      </c>
      <c r="E35" s="24">
        <v>8.9602477</v>
      </c>
      <c r="F35" s="24">
        <v>0.66397598999999996</v>
      </c>
      <c r="G35" s="24">
        <v>1.3825225999999999</v>
      </c>
      <c r="H35" s="30">
        <v>5.66</v>
      </c>
      <c r="I35" s="30">
        <v>5.47</v>
      </c>
      <c r="J35" s="13" t="s">
        <v>50</v>
      </c>
    </row>
    <row r="36" spans="1:13" x14ac:dyDescent="0.3">
      <c r="A36" s="37">
        <v>42</v>
      </c>
      <c r="B36" s="38"/>
      <c r="C36" s="39" t="s">
        <v>157</v>
      </c>
      <c r="D36" s="34" t="s">
        <v>152</v>
      </c>
      <c r="E36" s="24">
        <v>7.1394872999999999</v>
      </c>
      <c r="F36" s="24">
        <v>0.57891486999999997</v>
      </c>
      <c r="G36" s="24">
        <v>1.2055952999999999</v>
      </c>
      <c r="H36" s="30">
        <v>9.56</v>
      </c>
      <c r="I36" s="30">
        <v>1.69</v>
      </c>
      <c r="J36" s="13" t="s">
        <v>50</v>
      </c>
    </row>
    <row r="37" spans="1:13" x14ac:dyDescent="0.3">
      <c r="A37" s="37">
        <v>43</v>
      </c>
      <c r="B37" s="38" t="s">
        <v>159</v>
      </c>
      <c r="C37" s="29" t="s">
        <v>194</v>
      </c>
      <c r="D37" s="34" t="s">
        <v>160</v>
      </c>
      <c r="E37" s="24">
        <v>5.8049603000000003</v>
      </c>
      <c r="F37" s="24">
        <v>0.69962745999999998</v>
      </c>
      <c r="G37" s="24">
        <v>1.2337575999999999</v>
      </c>
      <c r="H37" s="25">
        <v>-1.26</v>
      </c>
      <c r="I37" s="25">
        <v>2.93</v>
      </c>
      <c r="J37" s="30"/>
      <c r="M37" t="s">
        <v>206</v>
      </c>
    </row>
    <row r="38" spans="1:13" x14ac:dyDescent="0.3">
      <c r="A38" s="37">
        <v>44</v>
      </c>
      <c r="B38" s="38"/>
      <c r="C38" s="29" t="s">
        <v>195</v>
      </c>
      <c r="D38" s="34" t="s">
        <v>161</v>
      </c>
      <c r="E38" s="24">
        <v>5.8095334000000003</v>
      </c>
      <c r="F38" s="24">
        <v>0.70857477000000002</v>
      </c>
      <c r="G38" s="24">
        <v>1.2931969000000001</v>
      </c>
      <c r="H38" s="25">
        <v>2.1800000000000002</v>
      </c>
      <c r="I38" s="25">
        <v>2.93</v>
      </c>
      <c r="J38" s="13"/>
    </row>
    <row r="39" spans="1:13" x14ac:dyDescent="0.3">
      <c r="A39" s="37">
        <v>45</v>
      </c>
      <c r="B39" s="38"/>
      <c r="C39" s="29" t="s">
        <v>196</v>
      </c>
      <c r="D39" s="34" t="s">
        <v>162</v>
      </c>
      <c r="E39" s="24">
        <v>3.0508603999999999</v>
      </c>
      <c r="F39" s="24">
        <v>0.85454545000000004</v>
      </c>
      <c r="G39" s="24">
        <v>1.156682</v>
      </c>
      <c r="H39" s="25" t="s">
        <v>204</v>
      </c>
      <c r="I39" s="25" t="s">
        <v>204</v>
      </c>
      <c r="J39" s="13" t="s">
        <v>205</v>
      </c>
    </row>
    <row r="40" spans="1:13" x14ac:dyDescent="0.3">
      <c r="A40" s="37">
        <v>46</v>
      </c>
      <c r="B40" s="38"/>
      <c r="C40" s="39" t="s">
        <v>163</v>
      </c>
      <c r="D40" s="34" t="s">
        <v>188</v>
      </c>
      <c r="E40" s="24">
        <v>7.8475326000000001</v>
      </c>
      <c r="F40" s="24">
        <v>0.73598697000000002</v>
      </c>
      <c r="G40" s="24">
        <v>1.3409952000000001</v>
      </c>
      <c r="H40" s="30">
        <v>2.46</v>
      </c>
      <c r="I40" s="30">
        <v>4.5599999999999996</v>
      </c>
      <c r="J40" s="13"/>
    </row>
    <row r="41" spans="1:13" x14ac:dyDescent="0.3">
      <c r="A41" s="37">
        <v>47</v>
      </c>
      <c r="B41" s="38"/>
      <c r="C41" s="39" t="s">
        <v>164</v>
      </c>
      <c r="D41" s="34" t="s">
        <v>189</v>
      </c>
      <c r="E41" s="24">
        <v>7.4526794000000001</v>
      </c>
      <c r="F41" s="24">
        <v>0.72820821000000002</v>
      </c>
      <c r="G41" s="24">
        <v>1.2573721</v>
      </c>
      <c r="H41" s="30">
        <v>5.83</v>
      </c>
      <c r="I41" s="30">
        <v>2.36</v>
      </c>
      <c r="J41" s="13"/>
    </row>
    <row r="42" spans="1:13" x14ac:dyDescent="0.3">
      <c r="A42" s="37">
        <v>48</v>
      </c>
      <c r="B42" s="38"/>
      <c r="C42" s="39" t="s">
        <v>165</v>
      </c>
      <c r="D42" s="34" t="s">
        <v>190</v>
      </c>
      <c r="E42" s="24">
        <v>3.3785371</v>
      </c>
      <c r="F42" s="24">
        <v>0.92959597000000005</v>
      </c>
      <c r="G42" s="24">
        <v>1.4216845</v>
      </c>
      <c r="H42" s="30">
        <v>9.32</v>
      </c>
      <c r="I42" s="30">
        <v>3.43</v>
      </c>
      <c r="J42" s="13"/>
    </row>
    <row r="43" spans="1:13" x14ac:dyDescent="0.3">
      <c r="A43" s="37">
        <v>49</v>
      </c>
      <c r="B43" s="38"/>
      <c r="C43" s="39" t="s">
        <v>166</v>
      </c>
      <c r="D43" s="34" t="s">
        <v>191</v>
      </c>
      <c r="E43" s="24">
        <v>7.3920374000000004</v>
      </c>
      <c r="F43" s="24">
        <v>0.76689249999999998</v>
      </c>
      <c r="G43" s="24">
        <v>1.3606240000000001</v>
      </c>
      <c r="H43" s="30">
        <v>9.2899999999999991</v>
      </c>
      <c r="I43" s="30">
        <v>0.41</v>
      </c>
      <c r="J43" s="13"/>
    </row>
    <row r="44" spans="1:13" x14ac:dyDescent="0.3">
      <c r="A44" s="37">
        <v>50</v>
      </c>
      <c r="B44" s="38"/>
      <c r="C44" s="39" t="s">
        <v>167</v>
      </c>
      <c r="D44" s="34" t="s">
        <v>192</v>
      </c>
      <c r="E44" s="24">
        <v>6.6976361000000004</v>
      </c>
      <c r="F44" s="24">
        <v>0.75465125</v>
      </c>
      <c r="G44" s="24">
        <v>1.3601688999999999</v>
      </c>
      <c r="H44" s="30">
        <v>9.3800000000000008</v>
      </c>
      <c r="I44" s="30">
        <v>-0.66</v>
      </c>
      <c r="J44" s="13"/>
    </row>
    <row r="45" spans="1:13" x14ac:dyDescent="0.3">
      <c r="A45" s="37">
        <v>51</v>
      </c>
      <c r="B45" s="38"/>
      <c r="C45" s="39" t="s">
        <v>168</v>
      </c>
      <c r="D45" s="34" t="s">
        <v>191</v>
      </c>
      <c r="E45" s="24">
        <v>8.4458792000000003</v>
      </c>
      <c r="F45" s="24">
        <v>0.69863005</v>
      </c>
      <c r="G45" s="24">
        <v>1.3424472999999999</v>
      </c>
      <c r="H45" s="30">
        <v>0.98</v>
      </c>
      <c r="I45" s="30">
        <v>5.25</v>
      </c>
      <c r="J45" s="13"/>
    </row>
    <row r="46" spans="1:13" x14ac:dyDescent="0.3">
      <c r="A46" s="37">
        <v>52</v>
      </c>
      <c r="B46" s="38"/>
      <c r="C46" s="39" t="s">
        <v>169</v>
      </c>
      <c r="D46" s="34" t="s">
        <v>193</v>
      </c>
      <c r="E46" s="24">
        <v>8.5724362999999997</v>
      </c>
      <c r="F46" s="24">
        <v>0.73464337000000002</v>
      </c>
      <c r="G46" s="24">
        <v>1.3210763000000001</v>
      </c>
      <c r="H46" s="30">
        <v>6.82</v>
      </c>
      <c r="I46" s="30">
        <v>2.08</v>
      </c>
      <c r="J46" s="13"/>
    </row>
    <row r="47" spans="1:13" x14ac:dyDescent="0.3">
      <c r="A47" s="37">
        <v>53</v>
      </c>
      <c r="B47" s="38"/>
      <c r="C47" s="39" t="s">
        <v>170</v>
      </c>
      <c r="D47" s="34" t="s">
        <v>192</v>
      </c>
      <c r="E47" s="24">
        <v>7.1005704999999999</v>
      </c>
      <c r="F47" s="24">
        <v>0.70999155000000003</v>
      </c>
      <c r="G47" s="24">
        <v>1.3099749999999999</v>
      </c>
      <c r="H47" s="30">
        <v>1.56</v>
      </c>
      <c r="I47" s="30">
        <v>1.42</v>
      </c>
      <c r="J47" s="13"/>
    </row>
    <row r="48" spans="1:13" x14ac:dyDescent="0.3">
      <c r="A48" s="37">
        <v>54</v>
      </c>
      <c r="B48" s="38"/>
      <c r="C48" s="39" t="s">
        <v>178</v>
      </c>
      <c r="D48" s="34" t="s">
        <v>177</v>
      </c>
      <c r="E48" s="24">
        <v>8.5688948000000007</v>
      </c>
      <c r="F48" s="24">
        <v>0.58422556000000003</v>
      </c>
      <c r="G48" s="24">
        <v>1.1935576000000001</v>
      </c>
      <c r="H48" s="25">
        <v>8.42</v>
      </c>
      <c r="I48" s="25">
        <v>1.95</v>
      </c>
      <c r="J48" s="13"/>
    </row>
    <row r="49" spans="1:10" x14ac:dyDescent="0.3">
      <c r="A49" s="37">
        <v>55</v>
      </c>
      <c r="B49" s="38" t="s">
        <v>171</v>
      </c>
      <c r="C49" s="39" t="s">
        <v>201</v>
      </c>
      <c r="D49" s="34" t="s">
        <v>172</v>
      </c>
      <c r="E49" s="24">
        <v>2.5752028999999999</v>
      </c>
      <c r="F49" s="24">
        <v>1.2001085</v>
      </c>
      <c r="G49" s="24">
        <v>1.6363198999999999</v>
      </c>
      <c r="H49" s="25">
        <v>11.37</v>
      </c>
      <c r="I49" s="25">
        <v>1.92</v>
      </c>
      <c r="J49" s="13"/>
    </row>
    <row r="50" spans="1:10" x14ac:dyDescent="0.3">
      <c r="A50" s="37">
        <v>56</v>
      </c>
      <c r="B50" s="38"/>
      <c r="C50" s="39" t="s">
        <v>202</v>
      </c>
      <c r="D50" s="34" t="s">
        <v>172</v>
      </c>
      <c r="E50" s="24">
        <v>2.7002670000000002</v>
      </c>
      <c r="F50" s="24">
        <v>1.213748</v>
      </c>
      <c r="G50" s="24">
        <v>1.586244</v>
      </c>
      <c r="H50" s="25">
        <v>11.83</v>
      </c>
      <c r="I50" s="25">
        <v>0.92</v>
      </c>
      <c r="J50" s="13"/>
    </row>
    <row r="51" spans="1:10" x14ac:dyDescent="0.3">
      <c r="A51" s="37">
        <v>57</v>
      </c>
      <c r="B51" s="38"/>
      <c r="C51" s="39" t="s">
        <v>203</v>
      </c>
      <c r="D51" s="34" t="s">
        <v>173</v>
      </c>
      <c r="E51" s="24">
        <v>3.0762078000000002</v>
      </c>
      <c r="F51" s="24">
        <v>0.90055923000000004</v>
      </c>
      <c r="G51" s="24">
        <v>1.3676060000000001</v>
      </c>
      <c r="H51" s="25">
        <v>14.34</v>
      </c>
      <c r="I51" s="25">
        <v>3.59</v>
      </c>
      <c r="J51" s="13"/>
    </row>
    <row r="52" spans="1:10" x14ac:dyDescent="0.3">
      <c r="A52" s="37">
        <v>58</v>
      </c>
      <c r="B52" s="38"/>
      <c r="C52" s="39" t="s">
        <v>175</v>
      </c>
      <c r="D52" s="34" t="s">
        <v>174</v>
      </c>
      <c r="E52" s="24">
        <v>1.9352218000000001</v>
      </c>
      <c r="F52" s="24">
        <v>1.3605714</v>
      </c>
      <c r="G52" s="24">
        <v>1.5625167</v>
      </c>
      <c r="H52" s="25">
        <v>2.12</v>
      </c>
      <c r="I52" s="25">
        <v>7.97</v>
      </c>
      <c r="J52" s="13"/>
    </row>
    <row r="53" spans="1:10" x14ac:dyDescent="0.3">
      <c r="A53" s="37">
        <v>59</v>
      </c>
      <c r="B53" s="38"/>
      <c r="C53" s="39" t="s">
        <v>176</v>
      </c>
      <c r="D53" s="34" t="s">
        <v>172</v>
      </c>
      <c r="E53" s="24">
        <v>2.7002670000000002</v>
      </c>
      <c r="F53" s="24">
        <v>1.213748</v>
      </c>
      <c r="G53" s="24">
        <v>1.586244</v>
      </c>
      <c r="H53" s="25">
        <v>11.83</v>
      </c>
      <c r="I53" s="25">
        <v>0.92</v>
      </c>
      <c r="J53" s="13"/>
    </row>
    <row r="54" spans="1:10" x14ac:dyDescent="0.3">
      <c r="A54" s="37">
        <v>60</v>
      </c>
      <c r="B54" s="38" t="s">
        <v>181</v>
      </c>
      <c r="C54" s="39" t="s">
        <v>182</v>
      </c>
      <c r="D54" s="34" t="s">
        <v>186</v>
      </c>
      <c r="E54" s="24">
        <v>1.4426768000000001</v>
      </c>
      <c r="F54" s="24">
        <v>1.1705015000000001</v>
      </c>
      <c r="G54" s="24">
        <v>2.2023035000000002</v>
      </c>
      <c r="H54" s="25">
        <v>10.34</v>
      </c>
      <c r="I54" s="25">
        <v>3.36</v>
      </c>
      <c r="J54" s="13"/>
    </row>
    <row r="55" spans="1:10" x14ac:dyDescent="0.3">
      <c r="A55" s="37">
        <v>61</v>
      </c>
      <c r="B55" s="38"/>
      <c r="C55" s="39" t="s">
        <v>183</v>
      </c>
      <c r="D55" s="34" t="s">
        <v>185</v>
      </c>
      <c r="E55" s="24">
        <v>1.5235141000000001</v>
      </c>
      <c r="F55" s="24">
        <v>1.1685551999999999</v>
      </c>
      <c r="G55" s="24">
        <v>2.2803138000000001</v>
      </c>
      <c r="H55" s="25">
        <v>6.05</v>
      </c>
      <c r="I55" s="25">
        <v>1.94</v>
      </c>
      <c r="J55" s="13"/>
    </row>
    <row r="56" spans="1:10" x14ac:dyDescent="0.3">
      <c r="A56" s="37">
        <v>62</v>
      </c>
      <c r="B56" s="38"/>
      <c r="C56" s="39" t="s">
        <v>184</v>
      </c>
      <c r="D56" s="34" t="s">
        <v>187</v>
      </c>
      <c r="E56" s="24">
        <v>5.0078598999999997</v>
      </c>
      <c r="F56" s="24">
        <v>0.89512652000000004</v>
      </c>
      <c r="G56" s="24">
        <v>1.6697324</v>
      </c>
      <c r="H56" s="25">
        <v>8.77</v>
      </c>
      <c r="I56" s="25">
        <v>4.9800000000000004</v>
      </c>
      <c r="J56" s="30"/>
    </row>
    <row r="57" spans="1:10" x14ac:dyDescent="0.3">
      <c r="A57" s="37">
        <v>63</v>
      </c>
      <c r="B57" s="38"/>
      <c r="C57" s="47" t="s">
        <v>223</v>
      </c>
      <c r="D57" s="34"/>
      <c r="E57" s="24"/>
      <c r="F57" s="24"/>
      <c r="G57" s="24"/>
      <c r="H57" s="25">
        <v>-15.2</v>
      </c>
      <c r="I57" s="25">
        <v>19.100000000000001</v>
      </c>
      <c r="J57" s="30"/>
    </row>
    <row r="58" spans="1:10" x14ac:dyDescent="0.3">
      <c r="A58" s="37">
        <v>64</v>
      </c>
      <c r="B58" s="38"/>
      <c r="C58" s="47" t="s">
        <v>224</v>
      </c>
      <c r="D58" s="34"/>
      <c r="E58" s="24"/>
      <c r="F58" s="24"/>
      <c r="G58" s="24"/>
      <c r="H58" s="25">
        <v>-7.9</v>
      </c>
      <c r="I58" s="25">
        <v>18.2</v>
      </c>
      <c r="J58" s="30"/>
    </row>
    <row r="59" spans="1:10" x14ac:dyDescent="0.3">
      <c r="A59" s="37">
        <v>65</v>
      </c>
      <c r="B59" s="38"/>
      <c r="C59" s="47" t="s">
        <v>225</v>
      </c>
      <c r="D59" s="34"/>
      <c r="E59" s="24"/>
      <c r="F59" s="24"/>
      <c r="G59" s="24"/>
      <c r="H59" s="25">
        <v>1</v>
      </c>
      <c r="I59" s="25">
        <v>16.600000000000001</v>
      </c>
      <c r="J59" s="30"/>
    </row>
    <row r="60" spans="1:10" x14ac:dyDescent="0.3">
      <c r="A60" s="37">
        <v>66</v>
      </c>
      <c r="B60" s="33"/>
      <c r="C60" s="47" t="s">
        <v>226</v>
      </c>
      <c r="D60" s="34"/>
      <c r="E60" s="24"/>
      <c r="F60" s="24"/>
      <c r="G60" s="24"/>
      <c r="H60" s="25">
        <v>8.4</v>
      </c>
      <c r="I60" s="25">
        <v>20.9</v>
      </c>
      <c r="J60" s="30"/>
    </row>
    <row r="61" spans="1:10" x14ac:dyDescent="0.3">
      <c r="A61" s="37">
        <v>67</v>
      </c>
      <c r="B61" s="33"/>
      <c r="C61" s="29" t="s">
        <v>230</v>
      </c>
      <c r="D61" s="34"/>
      <c r="E61" s="24"/>
      <c r="F61" s="24"/>
      <c r="G61" s="24"/>
      <c r="H61" s="25">
        <v>1.75</v>
      </c>
      <c r="I61" s="25">
        <v>45.94</v>
      </c>
      <c r="J61" s="30"/>
    </row>
    <row r="62" spans="1:10" x14ac:dyDescent="0.3">
      <c r="A62" s="37">
        <v>68</v>
      </c>
      <c r="B62" s="33"/>
      <c r="C62" s="29" t="s">
        <v>231</v>
      </c>
      <c r="D62" s="34"/>
      <c r="E62" s="24"/>
      <c r="F62" s="24"/>
      <c r="G62" s="24"/>
      <c r="H62" s="43">
        <v>0.13</v>
      </c>
      <c r="I62" s="43">
        <v>51.47</v>
      </c>
      <c r="J62" s="30"/>
    </row>
    <row r="63" spans="1:10" s="35" customFormat="1" x14ac:dyDescent="0.3">
      <c r="A63" s="37">
        <v>69</v>
      </c>
      <c r="B63" s="31"/>
      <c r="C63" s="32"/>
      <c r="D63" s="31"/>
      <c r="E63" s="24"/>
      <c r="F63" s="24"/>
      <c r="G63" s="24"/>
      <c r="H63" s="41"/>
      <c r="I63" s="41"/>
      <c r="J63" s="30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79"/>
  <sheetViews>
    <sheetView tabSelected="1" topLeftCell="B1" zoomScale="90" zoomScaleNormal="90" workbookViewId="0">
      <pane ySplit="1" topLeftCell="A2" activePane="bottomLeft" state="frozen"/>
      <selection pane="bottomLeft" activeCell="R67" sqref="R67"/>
    </sheetView>
  </sheetViews>
  <sheetFormatPr defaultRowHeight="16.5" x14ac:dyDescent="0.3"/>
  <cols>
    <col min="2" max="2" width="11.375" style="36" customWidth="1"/>
    <col min="3" max="3" width="14.25" style="36" customWidth="1"/>
    <col min="4" max="4" width="19.25" customWidth="1"/>
    <col min="8" max="9" width="11.125" customWidth="1"/>
    <col min="10" max="10" width="31.375" style="35" customWidth="1"/>
  </cols>
  <sheetData>
    <row r="1" spans="1:10" x14ac:dyDescent="0.3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6" t="s">
        <v>9</v>
      </c>
    </row>
    <row r="2" spans="1:10" x14ac:dyDescent="0.3">
      <c r="A2" s="7">
        <v>1</v>
      </c>
      <c r="B2" s="38" t="s">
        <v>10</v>
      </c>
      <c r="C2" s="29" t="s">
        <v>11</v>
      </c>
      <c r="D2" s="34" t="s">
        <v>12</v>
      </c>
      <c r="E2" s="11">
        <v>5.0131062000000002</v>
      </c>
      <c r="F2" s="11">
        <v>7.1345029000000004E-2</v>
      </c>
      <c r="G2" s="11">
        <v>0.54322497000000003</v>
      </c>
      <c r="H2" s="30"/>
      <c r="I2" s="30"/>
      <c r="J2" s="13" t="s">
        <v>13</v>
      </c>
    </row>
    <row r="3" spans="1:10" x14ac:dyDescent="0.3">
      <c r="A3" s="7">
        <v>2</v>
      </c>
      <c r="B3" s="38"/>
      <c r="C3" s="29" t="s">
        <v>14</v>
      </c>
      <c r="D3" s="34" t="s">
        <v>12</v>
      </c>
      <c r="E3" s="11">
        <v>0.53309353000000004</v>
      </c>
      <c r="F3" s="11">
        <v>0.19117646999999999</v>
      </c>
      <c r="G3" s="11">
        <v>0.33122484000000002</v>
      </c>
      <c r="H3" s="30"/>
      <c r="I3" s="30"/>
      <c r="J3" s="13" t="s">
        <v>13</v>
      </c>
    </row>
    <row r="4" spans="1:10" x14ac:dyDescent="0.3">
      <c r="A4" s="7">
        <v>3</v>
      </c>
      <c r="B4" s="38"/>
      <c r="C4" s="29" t="s">
        <v>15</v>
      </c>
      <c r="D4" s="34" t="s">
        <v>12</v>
      </c>
      <c r="E4" s="11">
        <v>0.76725193999999997</v>
      </c>
      <c r="F4" s="11">
        <v>9.1056911000000004E-2</v>
      </c>
      <c r="G4" s="11">
        <v>0.49982269000000001</v>
      </c>
      <c r="H4" s="30"/>
      <c r="I4" s="30"/>
      <c r="J4" s="13" t="s">
        <v>13</v>
      </c>
    </row>
    <row r="5" spans="1:10" x14ac:dyDescent="0.3">
      <c r="A5" s="7">
        <v>4</v>
      </c>
      <c r="B5" s="38" t="s">
        <v>16</v>
      </c>
      <c r="C5" s="29" t="s">
        <v>17</v>
      </c>
      <c r="D5" s="34" t="s">
        <v>18</v>
      </c>
      <c r="E5" s="11">
        <v>18.253259</v>
      </c>
      <c r="F5" s="11">
        <v>2.4608501000000001E-2</v>
      </c>
      <c r="G5" s="11">
        <v>1.2474521999999999</v>
      </c>
      <c r="H5" s="30"/>
      <c r="I5" s="30"/>
      <c r="J5" s="13" t="s">
        <v>13</v>
      </c>
    </row>
    <row r="6" spans="1:10" x14ac:dyDescent="0.3">
      <c r="A6" s="7">
        <v>5</v>
      </c>
      <c r="B6" s="38"/>
      <c r="C6" s="29" t="s">
        <v>19</v>
      </c>
      <c r="D6" s="34" t="s">
        <v>20</v>
      </c>
      <c r="E6" s="11">
        <v>15.894565</v>
      </c>
      <c r="F6" s="11">
        <v>9.6138514999999994E-2</v>
      </c>
      <c r="G6" s="11">
        <v>1.2979887999999999</v>
      </c>
      <c r="H6" s="30"/>
      <c r="I6" s="30"/>
      <c r="J6" s="13" t="s">
        <v>13</v>
      </c>
    </row>
    <row r="7" spans="1:10" x14ac:dyDescent="0.3">
      <c r="A7" s="7">
        <v>6</v>
      </c>
      <c r="B7" s="38"/>
      <c r="C7" s="29" t="s">
        <v>21</v>
      </c>
      <c r="D7" s="34" t="s">
        <v>22</v>
      </c>
      <c r="E7" s="11">
        <v>15.673439999999999</v>
      </c>
      <c r="F7" s="11">
        <v>4.3949305000000001E-2</v>
      </c>
      <c r="G7" s="11">
        <v>1.2137967000000001</v>
      </c>
      <c r="H7" s="30"/>
      <c r="I7" s="30"/>
      <c r="J7" s="13" t="s">
        <v>13</v>
      </c>
    </row>
    <row r="8" spans="1:10" x14ac:dyDescent="0.3">
      <c r="A8" s="7">
        <v>7</v>
      </c>
      <c r="B8" s="38"/>
      <c r="C8" s="29" t="s">
        <v>23</v>
      </c>
      <c r="D8" s="34" t="s">
        <v>24</v>
      </c>
      <c r="E8" s="11">
        <v>12.957406000000001</v>
      </c>
      <c r="F8" s="11">
        <v>8.4940796999999998E-2</v>
      </c>
      <c r="G8" s="11">
        <v>1.3070550000000001</v>
      </c>
      <c r="H8" s="30"/>
      <c r="I8" s="30"/>
      <c r="J8" s="13" t="s">
        <v>13</v>
      </c>
    </row>
    <row r="9" spans="1:10" x14ac:dyDescent="0.3">
      <c r="A9" s="7">
        <v>8</v>
      </c>
      <c r="B9" s="38" t="s">
        <v>25</v>
      </c>
      <c r="C9" s="29" t="s">
        <v>26</v>
      </c>
      <c r="D9" s="34" t="s">
        <v>27</v>
      </c>
      <c r="E9" s="11">
        <v>7.5397732</v>
      </c>
      <c r="F9" s="11">
        <v>0.66253231999999995</v>
      </c>
      <c r="G9" s="11">
        <v>1.4602349999999999</v>
      </c>
      <c r="H9" s="30"/>
      <c r="I9" s="30"/>
      <c r="J9" s="13" t="s">
        <v>28</v>
      </c>
    </row>
    <row r="10" spans="1:10" x14ac:dyDescent="0.3">
      <c r="A10" s="7">
        <v>9</v>
      </c>
      <c r="B10" s="38"/>
      <c r="C10" s="29" t="s">
        <v>29</v>
      </c>
      <c r="D10" s="34" t="s">
        <v>30</v>
      </c>
      <c r="E10" s="11">
        <v>10.8985</v>
      </c>
      <c r="F10" s="11">
        <v>0.65909817999999998</v>
      </c>
      <c r="G10" s="11">
        <v>1.3749370000000001</v>
      </c>
      <c r="H10" s="30"/>
      <c r="I10" s="30"/>
      <c r="J10" s="13" t="s">
        <v>28</v>
      </c>
    </row>
    <row r="11" spans="1:10" x14ac:dyDescent="0.3">
      <c r="A11" s="7">
        <v>10</v>
      </c>
      <c r="B11" s="38"/>
      <c r="C11" s="29" t="s">
        <v>31</v>
      </c>
      <c r="D11" s="34" t="s">
        <v>27</v>
      </c>
      <c r="E11" s="11">
        <v>5.4716737000000002</v>
      </c>
      <c r="F11" s="11">
        <v>0.69011096999999999</v>
      </c>
      <c r="G11" s="11">
        <v>1.5395901000000001</v>
      </c>
      <c r="H11" s="30"/>
      <c r="I11" s="30"/>
      <c r="J11" s="13" t="s">
        <v>32</v>
      </c>
    </row>
    <row r="12" spans="1:10" x14ac:dyDescent="0.3">
      <c r="A12" s="7">
        <v>11</v>
      </c>
      <c r="B12" s="38"/>
      <c r="C12" s="29" t="s">
        <v>33</v>
      </c>
      <c r="D12" s="34" t="s">
        <v>30</v>
      </c>
      <c r="E12" s="11">
        <v>11.120661</v>
      </c>
      <c r="F12" s="11">
        <v>0.74876264000000003</v>
      </c>
      <c r="G12" s="11">
        <v>1.3940493</v>
      </c>
      <c r="H12" s="30"/>
      <c r="I12" s="30"/>
      <c r="J12" s="13" t="s">
        <v>32</v>
      </c>
    </row>
    <row r="13" spans="1:10" x14ac:dyDescent="0.3">
      <c r="A13" s="14">
        <v>12</v>
      </c>
      <c r="B13" s="38"/>
      <c r="C13" s="29" t="s">
        <v>34</v>
      </c>
      <c r="D13" s="34" t="s">
        <v>35</v>
      </c>
      <c r="E13" s="11">
        <v>46.277571000000002</v>
      </c>
      <c r="F13" s="11">
        <v>0.59331648000000003</v>
      </c>
      <c r="G13" s="11">
        <v>1</v>
      </c>
      <c r="H13" s="30"/>
      <c r="I13" s="30"/>
      <c r="J13" s="49">
        <v>5.5555555555555552E-2</v>
      </c>
    </row>
    <row r="14" spans="1:10" x14ac:dyDescent="0.3">
      <c r="A14" s="7">
        <v>13</v>
      </c>
      <c r="B14" s="38"/>
      <c r="C14" s="29" t="s">
        <v>36</v>
      </c>
      <c r="D14" s="34" t="s">
        <v>27</v>
      </c>
      <c r="E14" s="11">
        <v>3.4161260000000002</v>
      </c>
      <c r="F14" s="11">
        <v>0.54622367999999999</v>
      </c>
      <c r="G14" s="11">
        <v>1.3658755</v>
      </c>
      <c r="H14" s="30"/>
      <c r="I14" s="30"/>
      <c r="J14" s="13" t="s">
        <v>37</v>
      </c>
    </row>
    <row r="15" spans="1:10" x14ac:dyDescent="0.3">
      <c r="A15" s="7">
        <v>14</v>
      </c>
      <c r="B15" s="38"/>
      <c r="C15" s="29" t="s">
        <v>38</v>
      </c>
      <c r="D15" s="34" t="s">
        <v>30</v>
      </c>
      <c r="E15" s="11">
        <v>19.154025000000001</v>
      </c>
      <c r="F15" s="11">
        <v>0.59125532999999997</v>
      </c>
      <c r="G15" s="11">
        <v>1.3888729</v>
      </c>
      <c r="H15" s="48"/>
      <c r="I15" s="48"/>
      <c r="J15" s="13" t="s">
        <v>37</v>
      </c>
    </row>
    <row r="16" spans="1:10" x14ac:dyDescent="0.3">
      <c r="A16" s="7">
        <v>15</v>
      </c>
      <c r="B16" s="38"/>
      <c r="C16" s="29" t="s">
        <v>39</v>
      </c>
      <c r="D16" s="34" t="s">
        <v>27</v>
      </c>
      <c r="E16" s="11">
        <v>6.8927538999999998</v>
      </c>
      <c r="F16" s="11">
        <v>0.58740621999999998</v>
      </c>
      <c r="G16" s="11">
        <v>1.3366442999999999</v>
      </c>
      <c r="H16" s="48"/>
      <c r="I16" s="48"/>
      <c r="J16" s="13" t="s">
        <v>37</v>
      </c>
    </row>
    <row r="17" spans="1:10" x14ac:dyDescent="0.3">
      <c r="A17" s="7">
        <v>16</v>
      </c>
      <c r="B17" s="38" t="s">
        <v>40</v>
      </c>
      <c r="C17" s="29" t="s">
        <v>41</v>
      </c>
      <c r="D17" s="34" t="s">
        <v>42</v>
      </c>
      <c r="E17" s="11">
        <v>13.837702</v>
      </c>
      <c r="F17" s="11">
        <v>0.40384852999999998</v>
      </c>
      <c r="G17" s="11">
        <v>0.90452336</v>
      </c>
      <c r="H17" s="48"/>
      <c r="I17" s="48"/>
      <c r="J17" s="13" t="s">
        <v>37</v>
      </c>
    </row>
    <row r="18" spans="1:10" x14ac:dyDescent="0.3">
      <c r="A18" s="7">
        <v>17</v>
      </c>
      <c r="B18" s="38"/>
      <c r="C18" s="29" t="s">
        <v>43</v>
      </c>
      <c r="D18" s="34" t="s">
        <v>44</v>
      </c>
      <c r="E18" s="11">
        <v>2.8329843000000001</v>
      </c>
      <c r="F18" s="11">
        <v>0.11758989</v>
      </c>
      <c r="G18" s="11">
        <v>0.63300928999999995</v>
      </c>
      <c r="H18" s="48"/>
      <c r="I18" s="48"/>
      <c r="J18" s="13" t="s">
        <v>37</v>
      </c>
    </row>
    <row r="19" spans="1:10" x14ac:dyDescent="0.3">
      <c r="A19" s="7">
        <v>18</v>
      </c>
      <c r="B19" s="38"/>
      <c r="C19" s="29" t="s">
        <v>45</v>
      </c>
      <c r="D19" s="34" t="s">
        <v>44</v>
      </c>
      <c r="E19" s="11">
        <v>0.86863380999999995</v>
      </c>
      <c r="F19" s="11">
        <v>0.88647476000000003</v>
      </c>
      <c r="G19" s="11">
        <v>1.0092668</v>
      </c>
      <c r="H19" s="48"/>
      <c r="I19" s="48"/>
      <c r="J19" s="13" t="s">
        <v>37</v>
      </c>
    </row>
    <row r="20" spans="1:10" x14ac:dyDescent="0.3">
      <c r="A20" s="7">
        <v>19</v>
      </c>
      <c r="B20" s="38"/>
      <c r="C20" s="29" t="s">
        <v>46</v>
      </c>
      <c r="D20" s="34" t="s">
        <v>44</v>
      </c>
      <c r="E20" s="11">
        <v>13.028558</v>
      </c>
      <c r="F20" s="11">
        <v>0.70610428000000003</v>
      </c>
      <c r="G20" s="11">
        <v>1.1573837</v>
      </c>
      <c r="H20" s="48"/>
      <c r="I20" s="48"/>
      <c r="J20" s="13" t="s">
        <v>37</v>
      </c>
    </row>
    <row r="21" spans="1:10" x14ac:dyDescent="0.3">
      <c r="A21" s="7"/>
      <c r="B21" s="38"/>
      <c r="C21" s="29" t="s">
        <v>232</v>
      </c>
      <c r="D21" s="34" t="s">
        <v>233</v>
      </c>
      <c r="E21" s="11"/>
      <c r="F21" s="11"/>
      <c r="G21" s="11"/>
      <c r="H21" s="48">
        <v>15.97</v>
      </c>
      <c r="I21" s="48">
        <v>2.65</v>
      </c>
      <c r="J21" s="13" t="s">
        <v>242</v>
      </c>
    </row>
    <row r="22" spans="1:10" x14ac:dyDescent="0.3">
      <c r="A22" s="7"/>
      <c r="B22" s="38"/>
      <c r="C22" s="29" t="s">
        <v>234</v>
      </c>
      <c r="D22" s="34" t="s">
        <v>235</v>
      </c>
      <c r="E22" s="11"/>
      <c r="F22" s="11"/>
      <c r="G22" s="11"/>
      <c r="H22" s="48">
        <v>19.62</v>
      </c>
      <c r="I22" s="48">
        <v>7.36</v>
      </c>
      <c r="J22" s="13" t="s">
        <v>242</v>
      </c>
    </row>
    <row r="23" spans="1:10" x14ac:dyDescent="0.3">
      <c r="A23" s="7"/>
      <c r="B23" s="38"/>
      <c r="C23" s="29" t="s">
        <v>236</v>
      </c>
      <c r="D23" s="34" t="s">
        <v>237</v>
      </c>
      <c r="E23" s="11"/>
      <c r="F23" s="11"/>
      <c r="G23" s="11"/>
      <c r="H23" s="48">
        <v>21.09</v>
      </c>
      <c r="I23" s="48">
        <v>4.13</v>
      </c>
      <c r="J23" s="13" t="s">
        <v>242</v>
      </c>
    </row>
    <row r="24" spans="1:10" x14ac:dyDescent="0.3">
      <c r="A24" s="7"/>
      <c r="B24" s="38"/>
      <c r="C24" s="29" t="s">
        <v>238</v>
      </c>
      <c r="D24" s="34" t="s">
        <v>239</v>
      </c>
      <c r="E24" s="11"/>
      <c r="F24" s="11"/>
      <c r="G24" s="11"/>
      <c r="H24" s="48">
        <v>24.48</v>
      </c>
      <c r="I24" s="48">
        <v>1.67</v>
      </c>
      <c r="J24" s="13" t="s">
        <v>242</v>
      </c>
    </row>
    <row r="25" spans="1:10" x14ac:dyDescent="0.3">
      <c r="A25" s="7"/>
      <c r="B25" s="38"/>
      <c r="C25" s="29" t="s">
        <v>240</v>
      </c>
      <c r="D25" s="34" t="s">
        <v>241</v>
      </c>
      <c r="E25" s="11"/>
      <c r="F25" s="11"/>
      <c r="G25" s="11"/>
      <c r="H25" s="50">
        <v>17.723203364241439</v>
      </c>
      <c r="I25" s="50">
        <v>8.8196253753158071</v>
      </c>
      <c r="J25" s="13" t="s">
        <v>242</v>
      </c>
    </row>
    <row r="26" spans="1:10" x14ac:dyDescent="0.3">
      <c r="A26" s="14">
        <v>20</v>
      </c>
      <c r="B26" s="38" t="s">
        <v>47</v>
      </c>
      <c r="C26" s="39" t="s">
        <v>48</v>
      </c>
      <c r="D26" s="34" t="s">
        <v>49</v>
      </c>
      <c r="E26" s="24">
        <v>13.358699</v>
      </c>
      <c r="F26" s="24">
        <v>0.47329740999999997</v>
      </c>
      <c r="G26" s="24">
        <v>1.1137896</v>
      </c>
      <c r="H26" s="25">
        <v>1.17</v>
      </c>
      <c r="I26" s="25">
        <v>1.62</v>
      </c>
      <c r="J26" s="13" t="s">
        <v>50</v>
      </c>
    </row>
    <row r="27" spans="1:10" x14ac:dyDescent="0.3">
      <c r="A27" s="7">
        <v>21</v>
      </c>
      <c r="B27" s="38"/>
      <c r="C27" s="39" t="s">
        <v>51</v>
      </c>
      <c r="D27" s="34" t="s">
        <v>52</v>
      </c>
      <c r="E27" s="24">
        <v>4.2631950999999999</v>
      </c>
      <c r="F27" s="24">
        <v>0.67759767999999998</v>
      </c>
      <c r="G27" s="24">
        <v>1.3672419</v>
      </c>
      <c r="H27" s="25">
        <v>8.01</v>
      </c>
      <c r="I27" s="25">
        <v>10.42</v>
      </c>
      <c r="J27" s="13" t="s">
        <v>50</v>
      </c>
    </row>
    <row r="28" spans="1:10" x14ac:dyDescent="0.3">
      <c r="A28" s="7">
        <v>22</v>
      </c>
      <c r="B28" s="38"/>
      <c r="C28" s="39" t="s">
        <v>53</v>
      </c>
      <c r="D28" s="34" t="s">
        <v>54</v>
      </c>
      <c r="E28" s="24">
        <v>19.799914000000001</v>
      </c>
      <c r="F28" s="24">
        <v>0.54516673999999998</v>
      </c>
      <c r="G28" s="24">
        <v>1.2168981999999999</v>
      </c>
      <c r="H28" s="25">
        <v>8.61</v>
      </c>
      <c r="I28" s="25">
        <v>1.57</v>
      </c>
      <c r="J28" s="13" t="s">
        <v>50</v>
      </c>
    </row>
    <row r="29" spans="1:10" x14ac:dyDescent="0.3">
      <c r="A29" s="7">
        <v>23</v>
      </c>
      <c r="B29" s="38"/>
      <c r="C29" s="39" t="s">
        <v>55</v>
      </c>
      <c r="D29" s="34" t="s">
        <v>56</v>
      </c>
      <c r="E29" s="24">
        <v>17.713673</v>
      </c>
      <c r="F29" s="24">
        <v>0.64617754999999999</v>
      </c>
      <c r="G29" s="24">
        <v>1.2991196</v>
      </c>
      <c r="H29" s="27">
        <v>8.19</v>
      </c>
      <c r="I29" s="27">
        <v>-0.4</v>
      </c>
      <c r="J29" s="13" t="s">
        <v>50</v>
      </c>
    </row>
    <row r="30" spans="1:10" x14ac:dyDescent="0.3">
      <c r="A30" s="7">
        <v>24</v>
      </c>
      <c r="B30" s="38"/>
      <c r="C30" s="39" t="s">
        <v>57</v>
      </c>
      <c r="D30" s="34" t="s">
        <v>58</v>
      </c>
      <c r="E30" s="24">
        <v>11.703141</v>
      </c>
      <c r="F30" s="24">
        <v>0.53042626999999998</v>
      </c>
      <c r="G30" s="24">
        <v>1.2029145999999999</v>
      </c>
      <c r="H30" s="25">
        <v>-0.66</v>
      </c>
      <c r="I30" s="25">
        <v>-5.07</v>
      </c>
      <c r="J30" s="13" t="s">
        <v>50</v>
      </c>
    </row>
    <row r="31" spans="1:10" x14ac:dyDescent="0.3">
      <c r="A31" s="7">
        <v>25</v>
      </c>
      <c r="B31" s="38"/>
      <c r="C31" s="39" t="s">
        <v>59</v>
      </c>
      <c r="D31" s="34" t="s">
        <v>58</v>
      </c>
      <c r="E31" s="24">
        <v>10.660031</v>
      </c>
      <c r="F31" s="24">
        <v>0.62658780999999997</v>
      </c>
      <c r="G31" s="24">
        <v>1.2702434</v>
      </c>
      <c r="H31" s="25">
        <v>4.79</v>
      </c>
      <c r="I31" s="25">
        <v>2.92</v>
      </c>
      <c r="J31" s="13" t="s">
        <v>50</v>
      </c>
    </row>
    <row r="32" spans="1:10" x14ac:dyDescent="0.3">
      <c r="A32" s="7">
        <v>26</v>
      </c>
      <c r="B32" s="38"/>
      <c r="C32" s="39" t="s">
        <v>60</v>
      </c>
      <c r="D32" s="34" t="s">
        <v>54</v>
      </c>
      <c r="E32" s="24">
        <v>4.0775791000000003</v>
      </c>
      <c r="F32" s="24">
        <v>0.66664743000000004</v>
      </c>
      <c r="G32" s="24">
        <v>1.3213185000000001</v>
      </c>
      <c r="H32" s="25">
        <v>7.38</v>
      </c>
      <c r="I32" s="25">
        <v>7.32</v>
      </c>
      <c r="J32" s="13" t="s">
        <v>50</v>
      </c>
    </row>
    <row r="33" spans="1:10" x14ac:dyDescent="0.3">
      <c r="A33" s="7">
        <v>27</v>
      </c>
      <c r="B33" s="38"/>
      <c r="C33" s="39" t="s">
        <v>61</v>
      </c>
      <c r="D33" s="34" t="s">
        <v>54</v>
      </c>
      <c r="E33" s="24">
        <v>6.3679626000000003</v>
      </c>
      <c r="F33" s="24">
        <v>0.57963251000000005</v>
      </c>
      <c r="G33" s="24">
        <v>1.2683205</v>
      </c>
      <c r="H33" s="25">
        <v>-0.78</v>
      </c>
      <c r="I33" s="25">
        <v>7.39</v>
      </c>
      <c r="J33" s="13" t="s">
        <v>50</v>
      </c>
    </row>
    <row r="34" spans="1:10" x14ac:dyDescent="0.3">
      <c r="A34" s="14">
        <v>28</v>
      </c>
      <c r="B34" s="38"/>
      <c r="C34" s="39" t="s">
        <v>62</v>
      </c>
      <c r="D34" s="34" t="s">
        <v>63</v>
      </c>
      <c r="E34" s="24">
        <v>175.63191</v>
      </c>
      <c r="F34" s="24">
        <v>0.25352152999999999</v>
      </c>
      <c r="G34" s="24">
        <v>0.84980294000000001</v>
      </c>
      <c r="H34" s="25">
        <v>12.06</v>
      </c>
      <c r="I34" s="25">
        <v>1.55</v>
      </c>
      <c r="J34" s="13" t="s">
        <v>50</v>
      </c>
    </row>
    <row r="35" spans="1:10" x14ac:dyDescent="0.3">
      <c r="A35" s="7">
        <v>29</v>
      </c>
      <c r="B35" s="38"/>
      <c r="C35" s="39" t="s">
        <v>64</v>
      </c>
      <c r="D35" s="34" t="s">
        <v>54</v>
      </c>
      <c r="E35" s="24">
        <v>6.5884904999999998</v>
      </c>
      <c r="F35" s="24">
        <v>0.62148999000000005</v>
      </c>
      <c r="G35" s="24">
        <v>1.2475295</v>
      </c>
      <c r="H35" s="25">
        <v>3.35</v>
      </c>
      <c r="I35" s="25">
        <v>6.93</v>
      </c>
      <c r="J35" s="13" t="s">
        <v>50</v>
      </c>
    </row>
    <row r="36" spans="1:10" x14ac:dyDescent="0.3">
      <c r="A36" s="7">
        <v>30</v>
      </c>
      <c r="B36" s="38"/>
      <c r="C36" s="39" t="s">
        <v>65</v>
      </c>
      <c r="D36" s="34" t="s">
        <v>54</v>
      </c>
      <c r="E36" s="24">
        <v>4.5313696999999999</v>
      </c>
      <c r="F36" s="24">
        <v>0.73918561999999999</v>
      </c>
      <c r="G36" s="24">
        <v>1.4219873999999999</v>
      </c>
      <c r="H36" s="25">
        <v>10.210000000000001</v>
      </c>
      <c r="I36" s="25">
        <v>10.56</v>
      </c>
      <c r="J36" s="13" t="s">
        <v>50</v>
      </c>
    </row>
    <row r="37" spans="1:10" x14ac:dyDescent="0.3">
      <c r="A37" s="7">
        <v>31</v>
      </c>
      <c r="B37" s="38"/>
      <c r="C37" s="39" t="s">
        <v>66</v>
      </c>
      <c r="D37" s="34" t="s">
        <v>54</v>
      </c>
      <c r="E37" s="24">
        <v>4.3217663000000002</v>
      </c>
      <c r="F37" s="24">
        <v>0.67806681999999996</v>
      </c>
      <c r="G37" s="24">
        <v>1.3522186</v>
      </c>
      <c r="H37" s="25">
        <v>2.5299999999999998</v>
      </c>
      <c r="I37" s="25">
        <v>10.61</v>
      </c>
      <c r="J37" s="13" t="s">
        <v>50</v>
      </c>
    </row>
    <row r="38" spans="1:10" x14ac:dyDescent="0.3">
      <c r="A38" s="7">
        <v>32</v>
      </c>
      <c r="B38" s="38"/>
      <c r="C38" s="39" t="s">
        <v>67</v>
      </c>
      <c r="D38" s="34" t="s">
        <v>58</v>
      </c>
      <c r="E38" s="24">
        <v>10.644598</v>
      </c>
      <c r="F38" s="24">
        <v>0.64439422000000002</v>
      </c>
      <c r="G38" s="24">
        <v>1.3306944000000001</v>
      </c>
      <c r="H38" s="25">
        <v>11.41</v>
      </c>
      <c r="I38" s="25">
        <v>4.5999999999999996</v>
      </c>
      <c r="J38" s="13" t="s">
        <v>50</v>
      </c>
    </row>
    <row r="39" spans="1:10" x14ac:dyDescent="0.3">
      <c r="A39" s="7">
        <v>33</v>
      </c>
      <c r="B39" s="38"/>
      <c r="C39" s="39" t="s">
        <v>68</v>
      </c>
      <c r="D39" s="34" t="s">
        <v>69</v>
      </c>
      <c r="E39" s="24">
        <v>4.7711347000000002</v>
      </c>
      <c r="F39" s="24">
        <v>0.58166293999999996</v>
      </c>
      <c r="G39" s="24">
        <v>1.2001599000000001</v>
      </c>
      <c r="H39" s="25">
        <v>10.77</v>
      </c>
      <c r="I39" s="25">
        <v>3.93</v>
      </c>
      <c r="J39" s="13" t="s">
        <v>50</v>
      </c>
    </row>
    <row r="40" spans="1:10" x14ac:dyDescent="0.3">
      <c r="A40" s="7">
        <v>34</v>
      </c>
      <c r="B40" s="38"/>
      <c r="C40" s="39" t="s">
        <v>70</v>
      </c>
      <c r="D40" s="34" t="s">
        <v>54</v>
      </c>
      <c r="E40" s="24">
        <v>3.0175786000000002</v>
      </c>
      <c r="F40" s="24">
        <v>0.80445290000000003</v>
      </c>
      <c r="G40" s="24">
        <v>1.4363739</v>
      </c>
      <c r="H40" s="25">
        <v>0.91</v>
      </c>
      <c r="I40" s="25">
        <v>10.36</v>
      </c>
      <c r="J40" s="13" t="s">
        <v>50</v>
      </c>
    </row>
    <row r="41" spans="1:10" x14ac:dyDescent="0.3">
      <c r="A41" s="14">
        <v>35</v>
      </c>
      <c r="B41" s="38"/>
      <c r="C41" s="39" t="s">
        <v>71</v>
      </c>
      <c r="D41" s="34" t="s">
        <v>72</v>
      </c>
      <c r="E41" s="24">
        <v>17.553982000000001</v>
      </c>
      <c r="F41" s="24">
        <v>0.4070453</v>
      </c>
      <c r="G41" s="24">
        <v>1.0662522000000001</v>
      </c>
      <c r="H41" s="25">
        <v>-6.16</v>
      </c>
      <c r="I41" s="25">
        <v>1.42</v>
      </c>
      <c r="J41" s="13" t="s">
        <v>50</v>
      </c>
    </row>
    <row r="42" spans="1:10" x14ac:dyDescent="0.3">
      <c r="A42" s="7">
        <v>36</v>
      </c>
      <c r="B42" s="38"/>
      <c r="C42" s="39" t="s">
        <v>73</v>
      </c>
      <c r="D42" s="34" t="s">
        <v>58</v>
      </c>
      <c r="E42" s="24">
        <v>5.5132121999999999</v>
      </c>
      <c r="F42" s="24">
        <v>0.66997894999999996</v>
      </c>
      <c r="G42" s="24">
        <v>1.3106876000000001</v>
      </c>
      <c r="H42" s="25">
        <v>8.6</v>
      </c>
      <c r="I42" s="25">
        <v>7.99</v>
      </c>
      <c r="J42" s="13" t="s">
        <v>50</v>
      </c>
    </row>
    <row r="43" spans="1:10" x14ac:dyDescent="0.3">
      <c r="A43" s="14">
        <v>37</v>
      </c>
      <c r="B43" s="38"/>
      <c r="C43" s="39" t="s">
        <v>74</v>
      </c>
      <c r="D43" s="34" t="s">
        <v>72</v>
      </c>
      <c r="E43" s="24">
        <v>22.721160000000001</v>
      </c>
      <c r="F43" s="24">
        <v>0.41013918999999999</v>
      </c>
      <c r="G43" s="24">
        <v>1.0282157999999999</v>
      </c>
      <c r="H43" s="25">
        <v>-2.21</v>
      </c>
      <c r="I43" s="25">
        <v>-2.04</v>
      </c>
      <c r="J43" s="13" t="s">
        <v>50</v>
      </c>
    </row>
    <row r="44" spans="1:10" x14ac:dyDescent="0.3">
      <c r="A44" s="14">
        <v>38</v>
      </c>
      <c r="B44" s="38"/>
      <c r="C44" s="39" t="s">
        <v>75</v>
      </c>
      <c r="D44" s="34" t="s">
        <v>72</v>
      </c>
      <c r="E44" s="24">
        <v>8.3730086000000004</v>
      </c>
      <c r="F44" s="24">
        <v>0.44111872000000002</v>
      </c>
      <c r="G44" s="24">
        <v>1.1328384</v>
      </c>
      <c r="H44" s="25">
        <v>0.98</v>
      </c>
      <c r="I44" s="25">
        <v>4.29</v>
      </c>
      <c r="J44" s="13" t="s">
        <v>50</v>
      </c>
    </row>
    <row r="45" spans="1:10" x14ac:dyDescent="0.3">
      <c r="A45" s="14"/>
      <c r="B45" s="31" t="s">
        <v>243</v>
      </c>
      <c r="C45" s="32" t="s">
        <v>244</v>
      </c>
      <c r="D45" s="30" t="s">
        <v>245</v>
      </c>
      <c r="E45" s="24"/>
      <c r="F45" s="24"/>
      <c r="G45" s="24"/>
      <c r="H45" s="30">
        <v>-17.75</v>
      </c>
      <c r="I45" s="30">
        <v>13.45</v>
      </c>
      <c r="J45" s="13" t="s">
        <v>248</v>
      </c>
    </row>
    <row r="46" spans="1:10" x14ac:dyDescent="0.3">
      <c r="A46" s="14"/>
      <c r="B46" s="31"/>
      <c r="C46" s="32" t="s">
        <v>224</v>
      </c>
      <c r="D46" s="30" t="s">
        <v>246</v>
      </c>
      <c r="E46" s="24"/>
      <c r="F46" s="24"/>
      <c r="G46" s="24"/>
      <c r="H46" s="30">
        <v>0.54</v>
      </c>
      <c r="I46" s="30">
        <v>20.49</v>
      </c>
      <c r="J46" s="13" t="s">
        <v>248</v>
      </c>
    </row>
    <row r="47" spans="1:10" x14ac:dyDescent="0.3">
      <c r="A47" s="14"/>
      <c r="B47" s="31"/>
      <c r="C47" s="32" t="s">
        <v>226</v>
      </c>
      <c r="D47" s="30" t="s">
        <v>247</v>
      </c>
      <c r="E47" s="24"/>
      <c r="F47" s="24"/>
      <c r="G47" s="24"/>
      <c r="H47" s="30">
        <v>7.14</v>
      </c>
      <c r="I47" s="30">
        <v>16.78</v>
      </c>
      <c r="J47" s="13" t="s">
        <v>248</v>
      </c>
    </row>
    <row r="48" spans="1:10" x14ac:dyDescent="0.3">
      <c r="A48" s="7">
        <v>39</v>
      </c>
      <c r="B48" s="38"/>
      <c r="C48" s="39" t="s">
        <v>76</v>
      </c>
      <c r="D48" s="34" t="s">
        <v>77</v>
      </c>
      <c r="E48" s="24">
        <v>14.321686</v>
      </c>
      <c r="F48" s="24">
        <v>0.60338687000000002</v>
      </c>
      <c r="G48" s="24">
        <v>1.2379784</v>
      </c>
      <c r="H48" s="25">
        <v>8.3699999999999992</v>
      </c>
      <c r="I48" s="25">
        <v>2.1800000000000002</v>
      </c>
      <c r="J48" s="13" t="s">
        <v>50</v>
      </c>
    </row>
    <row r="49" spans="1:10" x14ac:dyDescent="0.3">
      <c r="A49" s="7">
        <v>40</v>
      </c>
      <c r="B49" s="38" t="s">
        <v>78</v>
      </c>
      <c r="C49" s="29" t="s">
        <v>79</v>
      </c>
      <c r="D49" s="34" t="s">
        <v>80</v>
      </c>
      <c r="E49" s="24">
        <v>4.6149015999999996</v>
      </c>
      <c r="F49" s="24">
        <v>0.70751662999999998</v>
      </c>
      <c r="G49" s="24">
        <v>1.3419743</v>
      </c>
      <c r="H49" s="30">
        <v>6.83</v>
      </c>
      <c r="I49" s="30">
        <v>3.8</v>
      </c>
      <c r="J49" s="30" t="s">
        <v>81</v>
      </c>
    </row>
    <row r="50" spans="1:10" x14ac:dyDescent="0.3">
      <c r="A50" s="7">
        <v>41</v>
      </c>
      <c r="B50" s="38"/>
      <c r="C50" s="29" t="s">
        <v>82</v>
      </c>
      <c r="D50" s="34" t="s">
        <v>83</v>
      </c>
      <c r="E50" s="24">
        <v>10.991274000000001</v>
      </c>
      <c r="F50" s="24">
        <v>0.69678355999999997</v>
      </c>
      <c r="G50" s="24">
        <v>1.3507718</v>
      </c>
      <c r="H50" s="30">
        <v>5.1100000000000003</v>
      </c>
      <c r="I50" s="30">
        <v>4.53</v>
      </c>
      <c r="J50" s="30" t="s">
        <v>81</v>
      </c>
    </row>
    <row r="51" spans="1:10" x14ac:dyDescent="0.3">
      <c r="A51" s="7">
        <v>42</v>
      </c>
      <c r="B51" s="38"/>
      <c r="C51" s="29" t="s">
        <v>84</v>
      </c>
      <c r="D51" s="34" t="s">
        <v>85</v>
      </c>
      <c r="E51" s="24">
        <v>4.53</v>
      </c>
      <c r="F51" s="24">
        <v>0.81</v>
      </c>
      <c r="G51" s="24">
        <v>1.33</v>
      </c>
      <c r="H51" s="30">
        <v>6.91</v>
      </c>
      <c r="I51" s="30">
        <v>5.44</v>
      </c>
      <c r="J51" s="30" t="s">
        <v>81</v>
      </c>
    </row>
    <row r="52" spans="1:10" x14ac:dyDescent="0.3">
      <c r="A52" s="7">
        <v>43</v>
      </c>
      <c r="B52" s="38"/>
      <c r="C52" s="29" t="s">
        <v>84</v>
      </c>
      <c r="D52" s="34" t="s">
        <v>85</v>
      </c>
      <c r="E52" s="24">
        <v>5.0716185999999999</v>
      </c>
      <c r="F52" s="24">
        <v>0.74504457999999996</v>
      </c>
      <c r="G52" s="24">
        <v>1.2784743999999999</v>
      </c>
      <c r="H52" s="30">
        <v>8.9600000000000009</v>
      </c>
      <c r="I52" s="30">
        <v>8.98</v>
      </c>
      <c r="J52" s="30" t="s">
        <v>81</v>
      </c>
    </row>
    <row r="53" spans="1:10" x14ac:dyDescent="0.3">
      <c r="A53" s="7">
        <v>44</v>
      </c>
      <c r="B53" s="38"/>
      <c r="C53" s="29" t="s">
        <v>84</v>
      </c>
      <c r="D53" s="34" t="s">
        <v>85</v>
      </c>
      <c r="E53" s="24">
        <v>5.1669020000000003</v>
      </c>
      <c r="F53" s="24">
        <v>0.73318718999999999</v>
      </c>
      <c r="G53" s="24">
        <v>1.2976907</v>
      </c>
      <c r="H53" s="30">
        <v>6.09</v>
      </c>
      <c r="I53" s="30">
        <v>2.36</v>
      </c>
      <c r="J53" s="30" t="s">
        <v>81</v>
      </c>
    </row>
    <row r="54" spans="1:10" x14ac:dyDescent="0.3">
      <c r="A54" s="7">
        <v>45</v>
      </c>
      <c r="B54" s="31" t="s">
        <v>86</v>
      </c>
      <c r="C54" s="32" t="s">
        <v>87</v>
      </c>
      <c r="D54" s="33" t="s">
        <v>88</v>
      </c>
      <c r="E54" s="24">
        <v>3.0694995</v>
      </c>
      <c r="F54" s="24">
        <v>1.0878205000000001</v>
      </c>
      <c r="G54" s="24">
        <v>1.5689841</v>
      </c>
      <c r="H54" s="24">
        <v>9.77</v>
      </c>
      <c r="I54" s="24">
        <v>-1.17</v>
      </c>
      <c r="J54" s="30" t="s">
        <v>81</v>
      </c>
    </row>
    <row r="55" spans="1:10" x14ac:dyDescent="0.3">
      <c r="A55" s="7">
        <v>46</v>
      </c>
      <c r="B55" s="33"/>
      <c r="C55" s="32" t="s">
        <v>89</v>
      </c>
      <c r="D55" s="33" t="s">
        <v>88</v>
      </c>
      <c r="E55" s="24">
        <v>2.2891900999999999</v>
      </c>
      <c r="F55" s="24">
        <v>1.0619810000000001</v>
      </c>
      <c r="G55" s="24">
        <v>1.4963291999999999</v>
      </c>
      <c r="H55" s="24">
        <v>11.48</v>
      </c>
      <c r="I55" s="24">
        <v>0.36</v>
      </c>
      <c r="J55" s="30" t="s">
        <v>81</v>
      </c>
    </row>
    <row r="56" spans="1:10" x14ac:dyDescent="0.3">
      <c r="A56" s="7">
        <v>47</v>
      </c>
      <c r="B56" s="33"/>
      <c r="C56" s="32" t="s">
        <v>90</v>
      </c>
      <c r="D56" s="33" t="s">
        <v>88</v>
      </c>
      <c r="E56" s="24">
        <v>2.6410182999999998</v>
      </c>
      <c r="F56" s="24">
        <v>1.1160378</v>
      </c>
      <c r="G56" s="24">
        <v>1.5028785</v>
      </c>
      <c r="H56" s="24">
        <v>9.83</v>
      </c>
      <c r="I56" s="24">
        <v>-1.54</v>
      </c>
      <c r="J56" s="30" t="s">
        <v>81</v>
      </c>
    </row>
    <row r="57" spans="1:10" x14ac:dyDescent="0.3">
      <c r="A57" s="7">
        <v>48</v>
      </c>
      <c r="B57" s="33"/>
      <c r="C57" s="32" t="s">
        <v>91</v>
      </c>
      <c r="D57" s="33" t="s">
        <v>88</v>
      </c>
      <c r="E57" s="24">
        <v>2.4270472000000001</v>
      </c>
      <c r="F57" s="24">
        <v>1.2237909</v>
      </c>
      <c r="G57" s="24">
        <v>1.5051988999999999</v>
      </c>
      <c r="H57" s="24">
        <v>8.1199999999999992</v>
      </c>
      <c r="I57" s="24">
        <v>-0.73</v>
      </c>
      <c r="J57" s="30" t="s">
        <v>81</v>
      </c>
    </row>
    <row r="58" spans="1:10" x14ac:dyDescent="0.3">
      <c r="A58" s="7">
        <v>49</v>
      </c>
      <c r="B58" s="33"/>
      <c r="C58" s="32" t="s">
        <v>92</v>
      </c>
      <c r="D58" s="33" t="s">
        <v>88</v>
      </c>
      <c r="E58" s="24">
        <v>3.0674687</v>
      </c>
      <c r="F58" s="24">
        <v>1.1088718</v>
      </c>
      <c r="G58" s="24">
        <v>1.5697958000000001</v>
      </c>
      <c r="H58" s="24">
        <v>8.98</v>
      </c>
      <c r="I58" s="24">
        <v>-0.69</v>
      </c>
      <c r="J58" s="30" t="s">
        <v>81</v>
      </c>
    </row>
    <row r="59" spans="1:10" x14ac:dyDescent="0.3">
      <c r="A59" s="7">
        <v>50</v>
      </c>
      <c r="B59" s="33"/>
      <c r="C59" s="32" t="s">
        <v>93</v>
      </c>
      <c r="D59" s="33" t="s">
        <v>88</v>
      </c>
      <c r="E59" s="24">
        <v>3.6090258</v>
      </c>
      <c r="F59" s="24">
        <v>1.018926</v>
      </c>
      <c r="G59" s="24">
        <v>1.5482205</v>
      </c>
      <c r="H59" s="24">
        <v>11.7</v>
      </c>
      <c r="I59" s="24">
        <v>0.36</v>
      </c>
      <c r="J59" s="30" t="s">
        <v>81</v>
      </c>
    </row>
    <row r="60" spans="1:10" x14ac:dyDescent="0.3">
      <c r="A60" s="7">
        <v>51</v>
      </c>
      <c r="B60" s="33"/>
      <c r="C60" s="32" t="s">
        <v>94</v>
      </c>
      <c r="D60" s="33" t="s">
        <v>88</v>
      </c>
      <c r="E60" s="24">
        <v>3.1068517999999998</v>
      </c>
      <c r="F60" s="24">
        <v>1.0299684</v>
      </c>
      <c r="G60" s="24">
        <v>1.5199166</v>
      </c>
      <c r="H60" s="24">
        <v>12.29</v>
      </c>
      <c r="I60" s="24">
        <v>2.3199999999999998</v>
      </c>
      <c r="J60" s="30" t="s">
        <v>81</v>
      </c>
    </row>
    <row r="61" spans="1:10" x14ac:dyDescent="0.3">
      <c r="A61" s="7">
        <v>52</v>
      </c>
      <c r="B61" s="33"/>
      <c r="C61" s="32" t="s">
        <v>95</v>
      </c>
      <c r="D61" s="33" t="s">
        <v>88</v>
      </c>
      <c r="E61" s="24"/>
      <c r="F61" s="24"/>
      <c r="G61" s="24"/>
      <c r="H61" s="24">
        <v>12.98</v>
      </c>
      <c r="I61" s="24">
        <v>2.63</v>
      </c>
      <c r="J61" s="30" t="s">
        <v>81</v>
      </c>
    </row>
    <row r="62" spans="1:10" x14ac:dyDescent="0.3">
      <c r="A62" s="7">
        <v>53</v>
      </c>
      <c r="B62" s="33"/>
      <c r="C62" s="32" t="s">
        <v>96</v>
      </c>
      <c r="D62" s="33" t="s">
        <v>88</v>
      </c>
      <c r="E62" s="24"/>
      <c r="F62" s="24"/>
      <c r="G62" s="24"/>
      <c r="H62" s="24">
        <v>20.5</v>
      </c>
      <c r="I62" s="24">
        <v>5.45</v>
      </c>
      <c r="J62" s="30" t="s">
        <v>81</v>
      </c>
    </row>
    <row r="63" spans="1:10" x14ac:dyDescent="0.3">
      <c r="A63" s="7">
        <v>54</v>
      </c>
      <c r="B63" s="33"/>
      <c r="C63" s="32" t="s">
        <v>97</v>
      </c>
      <c r="D63" s="33" t="s">
        <v>88</v>
      </c>
      <c r="E63" s="24"/>
      <c r="F63" s="24"/>
      <c r="G63" s="24"/>
      <c r="H63" s="24">
        <v>10.89</v>
      </c>
      <c r="I63" s="24">
        <v>0.19</v>
      </c>
      <c r="J63" s="30" t="s">
        <v>81</v>
      </c>
    </row>
    <row r="64" spans="1:10" x14ac:dyDescent="0.3">
      <c r="A64" s="7">
        <v>55</v>
      </c>
      <c r="B64" s="33"/>
      <c r="C64" s="32" t="s">
        <v>98</v>
      </c>
      <c r="D64" s="33" t="s">
        <v>88</v>
      </c>
      <c r="E64" s="24"/>
      <c r="F64" s="24"/>
      <c r="G64" s="24"/>
      <c r="H64" s="24">
        <v>10.95</v>
      </c>
      <c r="I64" s="24">
        <v>-2.96</v>
      </c>
      <c r="J64" s="30" t="s">
        <v>81</v>
      </c>
    </row>
    <row r="65" spans="1:10" x14ac:dyDescent="0.3">
      <c r="A65" s="7">
        <v>56</v>
      </c>
      <c r="B65" s="33"/>
      <c r="C65" s="29" t="s">
        <v>99</v>
      </c>
      <c r="D65" s="33" t="s">
        <v>100</v>
      </c>
      <c r="E65" s="11">
        <v>2.5410629999999998</v>
      </c>
      <c r="F65" s="11">
        <v>1.4081307000000001</v>
      </c>
      <c r="G65" s="11">
        <v>1.6120125999999999</v>
      </c>
      <c r="H65" s="24">
        <v>21.7</v>
      </c>
      <c r="I65" s="24">
        <v>4.57</v>
      </c>
      <c r="J65" s="30" t="s">
        <v>81</v>
      </c>
    </row>
    <row r="66" spans="1:10" x14ac:dyDescent="0.3">
      <c r="A66" s="7">
        <v>57</v>
      </c>
      <c r="B66" s="33"/>
      <c r="C66" s="29" t="s">
        <v>101</v>
      </c>
      <c r="D66" s="33" t="s">
        <v>100</v>
      </c>
      <c r="E66" s="11"/>
      <c r="F66" s="11"/>
      <c r="G66" s="11"/>
      <c r="H66" s="24">
        <v>20.47</v>
      </c>
      <c r="I66" s="24">
        <v>1.22</v>
      </c>
      <c r="J66" s="30" t="s">
        <v>81</v>
      </c>
    </row>
    <row r="67" spans="1:10" x14ac:dyDescent="0.3">
      <c r="A67" s="7">
        <v>58</v>
      </c>
      <c r="B67" s="33"/>
      <c r="C67" s="29" t="s">
        <v>102</v>
      </c>
      <c r="D67" s="34" t="s">
        <v>103</v>
      </c>
      <c r="E67" s="11">
        <v>1.8932445</v>
      </c>
      <c r="F67" s="11">
        <v>1.120441</v>
      </c>
      <c r="G67" s="11">
        <v>1.6853969</v>
      </c>
      <c r="H67" s="24">
        <v>13.38</v>
      </c>
      <c r="I67" s="24">
        <v>4.66</v>
      </c>
      <c r="J67" s="30" t="s">
        <v>81</v>
      </c>
    </row>
    <row r="68" spans="1:10" x14ac:dyDescent="0.3">
      <c r="A68" s="7">
        <v>59</v>
      </c>
      <c r="B68" s="33"/>
      <c r="C68" s="29" t="s">
        <v>104</v>
      </c>
      <c r="D68" s="34" t="s">
        <v>105</v>
      </c>
      <c r="E68" s="11">
        <v>2.8126639999999998</v>
      </c>
      <c r="F68" s="11">
        <v>1.2820104999999999</v>
      </c>
      <c r="G68" s="11">
        <v>1.5806909</v>
      </c>
      <c r="H68" s="24">
        <v>2.16</v>
      </c>
      <c r="I68" s="24">
        <v>-3.58</v>
      </c>
      <c r="J68" s="30" t="s">
        <v>81</v>
      </c>
    </row>
    <row r="69" spans="1:10" x14ac:dyDescent="0.3">
      <c r="A69" s="7">
        <v>60</v>
      </c>
      <c r="B69" s="33"/>
      <c r="C69" s="29" t="s">
        <v>106</v>
      </c>
      <c r="D69" s="34" t="s">
        <v>105</v>
      </c>
      <c r="E69" s="11">
        <v>3.0038193</v>
      </c>
      <c r="F69" s="11">
        <v>1.3164754000000001</v>
      </c>
      <c r="G69" s="11">
        <v>1.5301155</v>
      </c>
      <c r="H69" s="24">
        <v>20.62</v>
      </c>
      <c r="I69" s="24">
        <v>0.06</v>
      </c>
      <c r="J69" s="30" t="s">
        <v>81</v>
      </c>
    </row>
    <row r="70" spans="1:10" x14ac:dyDescent="0.3">
      <c r="A70" s="7">
        <v>61</v>
      </c>
      <c r="B70" s="33"/>
      <c r="C70" s="29" t="s">
        <v>107</v>
      </c>
      <c r="D70" s="34" t="s">
        <v>105</v>
      </c>
      <c r="E70" s="11"/>
      <c r="F70" s="11"/>
      <c r="G70" s="11"/>
      <c r="H70" s="24">
        <v>12.28</v>
      </c>
      <c r="I70" s="24">
        <v>-1.7</v>
      </c>
      <c r="J70" s="30" t="s">
        <v>81</v>
      </c>
    </row>
    <row r="71" spans="1:10" x14ac:dyDescent="0.3">
      <c r="A71" s="7">
        <v>62</v>
      </c>
      <c r="B71" s="33"/>
      <c r="C71" s="29" t="s">
        <v>108</v>
      </c>
      <c r="D71" s="34" t="s">
        <v>105</v>
      </c>
      <c r="E71" s="11"/>
      <c r="F71" s="11"/>
      <c r="G71" s="11"/>
      <c r="H71" s="24">
        <v>18.02</v>
      </c>
      <c r="I71" s="24">
        <v>0.77</v>
      </c>
      <c r="J71" s="30" t="s">
        <v>81</v>
      </c>
    </row>
    <row r="72" spans="1:10" x14ac:dyDescent="0.3">
      <c r="A72" s="7">
        <v>63</v>
      </c>
      <c r="B72" s="33"/>
      <c r="C72" s="29" t="s">
        <v>109</v>
      </c>
      <c r="D72" s="34" t="s">
        <v>105</v>
      </c>
      <c r="E72" s="11"/>
      <c r="F72" s="11"/>
      <c r="G72" s="11"/>
      <c r="H72" s="24">
        <v>23.7</v>
      </c>
      <c r="I72" s="24">
        <v>6.6</v>
      </c>
      <c r="J72" s="30"/>
    </row>
    <row r="73" spans="1:10" x14ac:dyDescent="0.3">
      <c r="A73" s="7">
        <v>64</v>
      </c>
      <c r="B73" s="31" t="s">
        <v>110</v>
      </c>
      <c r="C73" s="29" t="s">
        <v>111</v>
      </c>
      <c r="D73" s="34" t="s">
        <v>112</v>
      </c>
      <c r="E73" s="24">
        <v>3.2409005</v>
      </c>
      <c r="F73" s="24">
        <v>1.0489337999999999</v>
      </c>
      <c r="G73" s="24">
        <v>1.6631912</v>
      </c>
      <c r="H73" s="24">
        <v>13.13</v>
      </c>
      <c r="I73" s="24">
        <v>3.23</v>
      </c>
      <c r="J73" s="30" t="s">
        <v>81</v>
      </c>
    </row>
    <row r="74" spans="1:10" x14ac:dyDescent="0.3">
      <c r="A74" s="7">
        <v>65</v>
      </c>
      <c r="B74" s="33"/>
      <c r="C74" s="29" t="s">
        <v>113</v>
      </c>
      <c r="D74" s="34" t="s">
        <v>114</v>
      </c>
      <c r="E74" s="24">
        <v>3.4010318000000002</v>
      </c>
      <c r="F74" s="24">
        <v>1.0745076</v>
      </c>
      <c r="G74" s="24">
        <v>1.6990331999999999</v>
      </c>
      <c r="H74" s="24">
        <v>11.84</v>
      </c>
      <c r="I74" s="24">
        <v>2.75</v>
      </c>
      <c r="J74" s="30" t="s">
        <v>81</v>
      </c>
    </row>
    <row r="75" spans="1:10" x14ac:dyDescent="0.3">
      <c r="A75" s="7">
        <v>66</v>
      </c>
      <c r="B75" s="33"/>
      <c r="C75" s="29" t="s">
        <v>115</v>
      </c>
      <c r="D75" s="34" t="s">
        <v>116</v>
      </c>
      <c r="E75" s="24">
        <v>5.2600332999999999</v>
      </c>
      <c r="F75" s="24">
        <v>1.0744480999999999</v>
      </c>
      <c r="G75" s="24">
        <v>1.7888577000000001</v>
      </c>
      <c r="H75" s="24">
        <v>10.35</v>
      </c>
      <c r="I75" s="24">
        <v>3.55</v>
      </c>
      <c r="J75" s="30" t="s">
        <v>81</v>
      </c>
    </row>
    <row r="76" spans="1:10" x14ac:dyDescent="0.3">
      <c r="A76" s="7">
        <v>67</v>
      </c>
      <c r="B76" s="33"/>
      <c r="C76" s="29" t="s">
        <v>117</v>
      </c>
      <c r="D76" s="34" t="s">
        <v>118</v>
      </c>
      <c r="E76" s="24">
        <v>4.0686662</v>
      </c>
      <c r="F76" s="24">
        <v>1.0628266</v>
      </c>
      <c r="G76" s="24">
        <v>1.5867036999999999</v>
      </c>
      <c r="H76" s="24">
        <v>11.62</v>
      </c>
      <c r="I76" s="24">
        <v>5.07</v>
      </c>
      <c r="J76" s="30" t="s">
        <v>81</v>
      </c>
    </row>
    <row r="77" spans="1:10" s="35" customFormat="1" x14ac:dyDescent="0.3">
      <c r="A77" s="7">
        <v>68</v>
      </c>
      <c r="B77" s="31" t="s">
        <v>119</v>
      </c>
      <c r="C77" s="32" t="s">
        <v>120</v>
      </c>
      <c r="D77" s="31" t="s">
        <v>121</v>
      </c>
      <c r="E77" s="24">
        <v>23.436271999999999</v>
      </c>
      <c r="F77" s="24">
        <v>0.51881798000000001</v>
      </c>
      <c r="G77" s="24">
        <v>1.3107572000000001</v>
      </c>
      <c r="H77" s="30">
        <v>17.66</v>
      </c>
      <c r="I77" s="30">
        <v>10.89</v>
      </c>
      <c r="J77" s="30" t="s">
        <v>81</v>
      </c>
    </row>
    <row r="78" spans="1:10" x14ac:dyDescent="0.3">
      <c r="B78" s="33"/>
      <c r="C78" s="33"/>
      <c r="D78" s="48"/>
      <c r="E78" s="48"/>
      <c r="F78" s="48"/>
      <c r="G78" s="48"/>
      <c r="H78" s="30">
        <v>18.170000000000002</v>
      </c>
      <c r="I78" s="30">
        <v>9.27</v>
      </c>
      <c r="J78" s="30"/>
    </row>
    <row r="79" spans="1:10" x14ac:dyDescent="0.3">
      <c r="B79" s="31" t="s">
        <v>249</v>
      </c>
      <c r="C79" s="29" t="s">
        <v>249</v>
      </c>
      <c r="D79" s="34" t="s">
        <v>249</v>
      </c>
      <c r="E79" s="34"/>
      <c r="F79" s="24"/>
      <c r="G79" s="24"/>
      <c r="H79" s="24">
        <v>-0.28024448861513651</v>
      </c>
      <c r="I79" s="24">
        <v>47.367869763227127</v>
      </c>
      <c r="J79" s="24"/>
    </row>
  </sheetData>
  <phoneticPr fontId="2" type="noConversion"/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EM_total_유기물형광지표</vt:lpstr>
      <vt:lpstr>EM_total_안정동위원소</vt:lpstr>
      <vt:lpstr>EM_total_2025</vt:lpstr>
      <vt:lpstr>EM_total_2024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Nier</dc:creator>
  <cp:lastModifiedBy>user</cp:lastModifiedBy>
  <dcterms:created xsi:type="dcterms:W3CDTF">2025-11-07T02:17:47Z</dcterms:created>
  <dcterms:modified xsi:type="dcterms:W3CDTF">2026-03-18T09:01:36Z</dcterms:modified>
</cp:coreProperties>
</file>